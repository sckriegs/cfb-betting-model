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taylorroesch/Downloads/cfb-betting-model/reports/"/>
    </mc:Choice>
  </mc:AlternateContent>
  <xr:revisionPtr revIDLastSave="0" documentId="13_ncr:1_{B7D978A0-B61D-7F45-9B93-2088A4E569AB}" xr6:coauthVersionLast="47" xr6:coauthVersionMax="47" xr10:uidLastSave="{00000000-0000-0000-0000-000000000000}"/>
  <bookViews>
    <workbookView xWindow="0" yWindow="500" windowWidth="13680" windowHeight="16180" xr2:uid="{00000000-000D-0000-FFFF-FFFF00000000}"/>
  </bookViews>
  <sheets>
    <sheet name="Sheet1" sheetId="1" r:id="rId1"/>
  </sheets>
  <definedNames>
    <definedName name="_xlnm._FilterDatabase" localSheetId="0" hidden="1">Sheet1!$A$1:$P$61</definedName>
  </definedNames>
  <calcPr calcId="0"/>
</workbook>
</file>

<file path=xl/sharedStrings.xml><?xml version="1.0" encoding="utf-8"?>
<sst xmlns="http://schemas.openxmlformats.org/spreadsheetml/2006/main" count="839" uniqueCount="481">
  <si>
    <t>Away Team</t>
  </si>
  <si>
    <t>Home Team</t>
  </si>
  <si>
    <t>DK Spread</t>
  </si>
  <si>
    <t>FD Spread</t>
  </si>
  <si>
    <t>ATS Pick</t>
  </si>
  <si>
    <t>ML Pick</t>
  </si>
  <si>
    <t>Total O/U</t>
  </si>
  <si>
    <t>O/U Pick</t>
  </si>
  <si>
    <t>Reasoning</t>
  </si>
  <si>
    <t>ATS Correct Y/N</t>
  </si>
  <si>
    <t>Actual Result</t>
  </si>
  <si>
    <t>ML Correct Y/N</t>
  </si>
  <si>
    <t>Actual Winner</t>
  </si>
  <si>
    <t>O/U Correct Y/N</t>
  </si>
  <si>
    <t>Actual Total</t>
  </si>
  <si>
    <t>Notes</t>
  </si>
  <si>
    <t>Akron</t>
  </si>
  <si>
    <t>Bowling Green</t>
  </si>
  <si>
    <t>N/A</t>
  </si>
  <si>
    <t>Bowling Green (-2.9) (1/10)</t>
  </si>
  <si>
    <t>Bowling Green (3/10)</t>
  </si>
  <si>
    <t>49.5 (est.)</t>
  </si>
  <si>
    <t>• Rest advantage: Bowling Green has 4 more rest days (10 vs 6 days) - key factor&lt;br&gt;• Low confidence (0/10) - smaller edge</t>
  </si>
  <si>
    <t>Massachusetts</t>
  </si>
  <si>
    <t>Ohio</t>
  </si>
  <si>
    <t>Ohio (-22.6) (1/10)</t>
  </si>
  <si>
    <t>Ohio (10/10)</t>
  </si>
  <si>
    <t>49.2 (est.)</t>
  </si>
  <si>
    <t>• Ohio on short week (6 days rest) - potential fatigue factor&lt;br&gt;• Low confidence (0/10) - smaller edge</t>
  </si>
  <si>
    <t>Western Michigan</t>
  </si>
  <si>
    <t>Northern Illinois</t>
  </si>
  <si>
    <t>Western Michigan (-15.5) (1/10)</t>
  </si>
  <si>
    <t>Western Michigan (10/10)</t>
  </si>
  <si>
    <t>48.5 (est.)</t>
  </si>
  <si>
    <t>• Northern Illinois on short week (6 days rest) - potential fatigue factor&lt;br&gt;• Low confidence (0/10) - smaller edge</t>
  </si>
  <si>
    <t>Miami (OH)</t>
  </si>
  <si>
    <t>Buffalo</t>
  </si>
  <si>
    <t>Miami (-2.1) (1/10)</t>
  </si>
  <si>
    <t>Miami (2/10)</t>
  </si>
  <si>
    <t>43.3 (est.)</t>
  </si>
  <si>
    <t>• Low confidence (0/10) - smaller edge</t>
  </si>
  <si>
    <t>Central Michigan</t>
  </si>
  <si>
    <t>Kent State</t>
  </si>
  <si>
    <t>Kent State (-2.0) (1/10)</t>
  </si>
  <si>
    <t>Kent State (3/10)</t>
  </si>
  <si>
    <t>49.3 (est.)</t>
  </si>
  <si>
    <t>Louisiana</t>
  </si>
  <si>
    <t>Arkansas State</t>
  </si>
  <si>
    <t>Arkansas State (-5.5) (1/10)</t>
  </si>
  <si>
    <t>Arkansas State (5/10)</t>
  </si>
  <si>
    <t>49.4 (est.)</t>
  </si>
  <si>
    <t>Florida State</t>
  </si>
  <si>
    <t>NC State</t>
  </si>
  <si>
    <t>+6.5</t>
  </si>
  <si>
    <t>NC State (+6.5) (4/10)</t>
  </si>
  <si>
    <t>Florida State (9/10)</t>
  </si>
  <si>
    <t>59.5</t>
  </si>
  <si>
    <t>UNDER (3/10)</t>
  </si>
  <si>
    <t>• Strength matchup: NC State SP+ 3.7 vs Florida State SP+ 11.5&lt;br&gt;• Point differential: NC State averaging 30.4 PPG vs allowing 35.2 PPG&lt;br&gt;• NC State on short week (6 days rest) - potential fatigue factor</t>
  </si>
  <si>
    <t>Hawai'i</t>
  </si>
  <si>
    <t>UNLV</t>
  </si>
  <si>
    <t>-2.5</t>
  </si>
  <si>
    <t>UNLV (-2.5) (4/10)</t>
  </si>
  <si>
    <t>UNLV (5/10)</t>
  </si>
  <si>
    <t>64.5</t>
  </si>
  <si>
    <t>UNDER (6/10)</t>
  </si>
  <si>
    <t>• Close matchup: UNLV SP+ 1.6 vs Hawai'i SP+ -1.1&lt;br&gt;• Win probability: UNLV 64% vs Hawai'i 36%&lt;br&gt;• Point differential: UNLV averaging 37.6 PPG vs allowing 36.0 PPG</t>
  </si>
  <si>
    <t>TCU</t>
  </si>
  <si>
    <t>#25 Houston</t>
  </si>
  <si>
    <t>-1.5</t>
  </si>
  <si>
    <t>TCU (+1.5) (1/10)</t>
  </si>
  <si>
    <t>#25 Houston (1/10)</t>
  </si>
  <si>
    <t>55.5</t>
  </si>
  <si>
    <t>• UNDER edge: Model total 50 vs market 56 (6.0 pt difference)&lt;br&gt;• Rest advantage: Houston has 8 more rest days (14 vs 6 days) - key factor</t>
  </si>
  <si>
    <t>Rutgers</t>
  </si>
  <si>
    <t>#1 Ohio State</t>
  </si>
  <si>
    <t>-32.5</t>
  </si>
  <si>
    <t>Rutgers (+32.5) (6/10)</t>
  </si>
  <si>
    <t>#1 Ohio State (10/10)</t>
  </si>
  <si>
    <t>• SP+ underdog: Rutgers (2.0) vs Ohio State (30.5) - model sees value despite strength gap&lt;br&gt;• Point differential: Rutgers averaging 20.8 PPG vs allowing 34.6 PPG&lt;br&gt;• Rest advantage: Rutgers has 7 more rest days (13 vs 6 days) - key factor</t>
  </si>
  <si>
    <t>#18 Michigan</t>
  </si>
  <si>
    <t>Maryland</t>
  </si>
  <si>
    <t>+14.0</t>
  </si>
  <si>
    <t>+13.5</t>
  </si>
  <si>
    <t>Maryland (+14.0) (6/10)</t>
  </si>
  <si>
    <t>#18 Michigan (10/10)</t>
  </si>
  <si>
    <t>46.5</t>
  </si>
  <si>
    <t>OVER (4/10)</t>
  </si>
  <si>
    <t>• SP+ underdog: Maryland (3.5) vs Michigan (15.7) - model sees value despite strength gap&lt;br&gt;• Point differential: Maryland averaging 16.8 PPG vs allowing 33.6 PPG&lt;br&gt;• Maryland on short week (6 days rest) - potential fatigue factor</t>
  </si>
  <si>
    <t>South Florida</t>
  </si>
  <si>
    <t>UAB</t>
  </si>
  <si>
    <t>+21.5</t>
  </si>
  <si>
    <t>South Florida (-21.5) (4/10)</t>
  </si>
  <si>
    <t>South Florida (10/10)</t>
  </si>
  <si>
    <t>68.5</t>
  </si>
  <si>
    <t>• SP+ advantage: South Florida (11.3) is 24.2 points stronger than UAB (-12.9)&lt;br&gt;• Strong win probability: Model gives South Florida 99% chance to win&lt;br&gt;• Form advantage: South Florida 3-2 (60%) vs UAB 1-4</t>
  </si>
  <si>
    <t>Arizona State</t>
  </si>
  <si>
    <t>Colorado</t>
  </si>
  <si>
    <t>+7.0</t>
  </si>
  <si>
    <t>+7.5</t>
  </si>
  <si>
    <t>Colorado (+7.0) (1/10)</t>
  </si>
  <si>
    <t>Arizona State (10/10)</t>
  </si>
  <si>
    <t>OVER (3/10)</t>
  </si>
  <si>
    <t>• Rest advantage: Colorado has 7 more rest days (13 vs 6 days) - key factor&lt;br&gt;• Low confidence (3/10) - smaller edge</t>
  </si>
  <si>
    <t>Baylor</t>
  </si>
  <si>
    <t>Arizona</t>
  </si>
  <si>
    <t>-6.5</t>
  </si>
  <si>
    <t>Baylor (+6.5) (1/10)</t>
  </si>
  <si>
    <t>Arizona (6/10)</t>
  </si>
  <si>
    <t>62.5</t>
  </si>
  <si>
    <t>UNDER (8/10)</t>
  </si>
  <si>
    <t>• UNDER edge: Model total 54 vs market 62 (8.4 pt difference)&lt;br&gt;• High-scoring matchup expected (total 62)&lt;br&gt;• Arizona on short week (6 days rest) - potential fatigue factor</t>
  </si>
  <si>
    <t>#11 BYU</t>
  </si>
  <si>
    <t>Cincinnati</t>
  </si>
  <si>
    <t>+2.5</t>
  </si>
  <si>
    <t>Cincinnati (+2.5) (3/10)</t>
  </si>
  <si>
    <t>#11 BYU (8/10)</t>
  </si>
  <si>
    <t>• Close matchup: Cincinnati SP+ 10.8 vs BYU SP+ 14.4&lt;br&gt;• UNDER edge: Model total 49 vs market 56 (6.2 pt difference)&lt;br&gt;• Cincinnati on short week (6 days rest) - potential fatigue factor</t>
  </si>
  <si>
    <t>Illinois</t>
  </si>
  <si>
    <t>Wisconsin</t>
  </si>
  <si>
    <t>+8.5</t>
  </si>
  <si>
    <t>Illinois (-8.5) (4/10)</t>
  </si>
  <si>
    <t>Illinois (10/10)</t>
  </si>
  <si>
    <t>41.5</t>
  </si>
  <si>
    <t>• SP+ advantage: Illinois (13.4) is 17.8 points stronger than Wisconsin (-4.4)&lt;br&gt;• Strong win probability: Model gives Illinois 82% chance to win&lt;br&gt;• Form advantage: Illinois 3-2 (60%) vs Wisconsin 1-4</t>
  </si>
  <si>
    <t>Kansas</t>
  </si>
  <si>
    <t>Iowa State</t>
  </si>
  <si>
    <t>-3.5</t>
  </si>
  <si>
    <t>Iowa State (-3.5) (6/10)</t>
  </si>
  <si>
    <t>Iowa State (8/10)</t>
  </si>
  <si>
    <t>• Close matchup: Iowa State SP+ 8.9 vs Kansas SP+ 5.4&lt;br&gt;• Strong win probability: Model gives Iowa State 72% chance to win&lt;br&gt;• UNDER edge: Model total 50 vs market 56 (5.0 pt difference)</t>
  </si>
  <si>
    <t>Michigan State</t>
  </si>
  <si>
    <t>Iowa</t>
  </si>
  <si>
    <t>-16.5</t>
  </si>
  <si>
    <t>Michigan State (+16.5) (3/10)</t>
  </si>
  <si>
    <t>Iowa (10/10)</t>
  </si>
  <si>
    <t>42.5</t>
  </si>
  <si>
    <t>• SP+ underdog: Michigan State (-2.1) vs Iowa (17.2) - model sees value despite strength gap&lt;br&gt;• Point differential: Michigan State averaging 15.2 PPG vs allowing 31.6 PPG&lt;br&gt;• Defensive battle expected (total 42)</t>
  </si>
  <si>
    <t>#16 USC</t>
  </si>
  <si>
    <t>#6 Oregon</t>
  </si>
  <si>
    <t>-10.0</t>
  </si>
  <si>
    <t>-9.5</t>
  </si>
  <si>
    <t>#16 USC (+10.0) (2/10)</t>
  </si>
  <si>
    <t>#6 Oregon (5/10)</t>
  </si>
  <si>
    <t>• UNDER edge: Model total 54 vs market 60 (5.3 pt difference)&lt;br&gt;• USC on short week (6 days rest) - potential fatigue factor</t>
  </si>
  <si>
    <t>Washington</t>
  </si>
  <si>
    <t>UCLA</t>
  </si>
  <si>
    <t>+10.5</t>
  </si>
  <si>
    <t>UCLA (+10.5) (2/10)</t>
  </si>
  <si>
    <t>Washington (10/10)</t>
  </si>
  <si>
    <t>51.5</t>
  </si>
  <si>
    <t>• UCLA on short week (6 days rest) - potential fatigue factor&lt;br&gt;• Low confidence (3/10) - smaller edge</t>
  </si>
  <si>
    <t>East Carolina</t>
  </si>
  <si>
    <t>UTSA</t>
  </si>
  <si>
    <t>East Carolina (-2.5) (3/10)</t>
  </si>
  <si>
    <t>East Carolina (6/10)</t>
  </si>
  <si>
    <t>• Team strength: East Carolina SP+ 7.6 vs UTSA SP+ -0.7 (8.3 pt advantage)&lt;br&gt;• Win probability: East Carolina 63% vs UTSA 37%&lt;br&gt;• UNDER edge: Model total 54 vs market 62 (8.3 pt difference)</t>
  </si>
  <si>
    <t>Duke</t>
  </si>
  <si>
    <t>North Carolina</t>
  </si>
  <si>
    <t>North Carolina (+6.5) (1/10)</t>
  </si>
  <si>
    <t>Duke (10/10)</t>
  </si>
  <si>
    <t>UNDER (2/10)</t>
  </si>
  <si>
    <t>• North Carolina on short week (6 days rest) - potential fatigue factor&lt;br&gt;• Low confidence (2/10) - smaller edge</t>
  </si>
  <si>
    <t>Pittsburgh</t>
  </si>
  <si>
    <t>#15 Georgia Tech</t>
  </si>
  <si>
    <t>Pittsburgh (+2.5) (1/10)</t>
  </si>
  <si>
    <t>#15 Georgia Tech (4/10)</t>
  </si>
  <si>
    <t>61.5</t>
  </si>
  <si>
    <t>• Total UNDER: Model predicts 51 pts (vs market 62) - defensive matchup&lt;br&gt;• High-scoring matchup expected (total 62)&lt;br&gt;• Georgia Tech on short week (6 days rest) - potential fatigue factor</t>
  </si>
  <si>
    <t>Washington State</t>
  </si>
  <si>
    <t>#21 James Madison</t>
  </si>
  <si>
    <t>-13.5</t>
  </si>
  <si>
    <t>Washington State (+13.5) (6/10)</t>
  </si>
  <si>
    <t>#21 James Madison (8/10)</t>
  </si>
  <si>
    <t>OVER (8/10)</t>
  </si>
  <si>
    <t>• SP+ underdog: Washington State (-1.6) vs James Madison (9.9) - model sees value despite strength gap&lt;br&gt;• Point differential: Washington State averaging 19.0 PPG vs allowing 15.8 PPG&lt;br&gt;• Total OVER: Model predicts 53 pts (vs market 42) - both teams averaging 50.0 PPG</t>
  </si>
  <si>
    <t>#24 Tulane</t>
  </si>
  <si>
    <t>Temple</t>
  </si>
  <si>
    <t>+9.5</t>
  </si>
  <si>
    <t>Temple (+9.5) (3/10)</t>
  </si>
  <si>
    <t>#24 Tulane (10/10)</t>
  </si>
  <si>
    <t>54.5</t>
  </si>
  <si>
    <t>• Strength matchup: Temple SP+ -3.8 vs Tulane SP+ 2.4&lt;br&gt;• Rest advantage: Temple has 7 more rest days (13 vs 6 days) - key factor</t>
  </si>
  <si>
    <t>#20 Tennessee</t>
  </si>
  <si>
    <t>Florida</t>
  </si>
  <si>
    <t>+4.0</t>
  </si>
  <si>
    <t>+3.5</t>
  </si>
  <si>
    <t>#20 Tennessee (-4.0) (3/10)</t>
  </si>
  <si>
    <t>#20 Tennessee (5/10)</t>
  </si>
  <si>
    <t>57.5</t>
  </si>
  <si>
    <t>UNDER (4/10)</t>
  </si>
  <si>
    <t>• SP+ advantage: #20 Tennessee (16.3) is 10.1 points stronger than Florida (6.2)&lt;br&gt;• Form advantage: #20 Tennessee 3-2 (60%) vs Florida 1-4&lt;br&gt;• Point differential: #20 Tennessee averaging 35.8 PPG vs allowing 28.8 PPG</t>
  </si>
  <si>
    <t>Louisville</t>
  </si>
  <si>
    <t>SMU</t>
  </si>
  <si>
    <t>-3.0</t>
  </si>
  <si>
    <t>Louisville (+3.0) (2/10)</t>
  </si>
  <si>
    <t>SMU (6/10)</t>
  </si>
  <si>
    <t>• Rest advantage: SMU has 6 more rest days (13 vs 7 days) - key factor</t>
  </si>
  <si>
    <t>Minnesota</t>
  </si>
  <si>
    <t>Northwestern</t>
  </si>
  <si>
    <t>-4.0</t>
  </si>
  <si>
    <t>Northwestern (-4.0) (6/10)</t>
  </si>
  <si>
    <t>Northwestern (8/10)</t>
  </si>
  <si>
    <t>39.5</t>
  </si>
  <si>
    <t>• Strong win probability: Model gives Northwestern 75% chance to win&lt;br&gt;• OVER edge: Model total 49 vs market 40 (9.1 pt difference)&lt;br&gt;• Defensive battle expected (total 40)</t>
  </si>
  <si>
    <t>Nebraska</t>
  </si>
  <si>
    <t>Penn State</t>
  </si>
  <si>
    <t>-8.5</t>
  </si>
  <si>
    <t>Penn State (-8.5) (2/10)</t>
  </si>
  <si>
    <t>Penn State (7/10)</t>
  </si>
  <si>
    <t>45.5</t>
  </si>
  <si>
    <t>OVER (6/10)</t>
  </si>
  <si>
    <t>• Close matchup: Penn State SP+ 15.0 vs Nebraska SP+ 12.3&lt;br&gt;• Win probability: Penn State 70% vs Nebraska 30%&lt;br&gt;• OVER edge: Model total 51 vs market 46 (5.4 pt difference)</t>
  </si>
  <si>
    <t>Kansas State</t>
  </si>
  <si>
    <t>#13 Utah</t>
  </si>
  <si>
    <t>-17.5</t>
  </si>
  <si>
    <t>Kansas State (+17.5) (8/10)</t>
  </si>
  <si>
    <t>#13 Utah (10/10)</t>
  </si>
  <si>
    <t>52.5</t>
  </si>
  <si>
    <t>• SP+ underdog: Kansas State (7.9) vs Utah (21.5) - model sees value despite strength gap&lt;br&gt;• Point differential: Kansas State averaging 30.2 PPG vs allowing 25.8 PPG&lt;br&gt;• Utah on short week (6 days rest) - potential fatigue factor</t>
  </si>
  <si>
    <t>Arkansas</t>
  </si>
  <si>
    <t>#17 Texas</t>
  </si>
  <si>
    <t>#17 Texas (-8.5) (4/10)</t>
  </si>
  <si>
    <t>#17 Texas (9/10)</t>
  </si>
  <si>
    <t>58.5</t>
  </si>
  <si>
    <t>• Team strength: #17 Texas SP+ 18.3 vs Arkansas SP+ 9.3 (9.0 pt advantage)&lt;br&gt;• Strong win probability: Model gives #17 Texas 80% chance to win&lt;br&gt;• Recent form: #17 Texas 4-1 (last 5) vs Arkansas 0-5</t>
  </si>
  <si>
    <t>#22 North Texas</t>
  </si>
  <si>
    <t>Rice</t>
  </si>
  <si>
    <t>+17.5</t>
  </si>
  <si>
    <t>+18.5</t>
  </si>
  <si>
    <t>#22 North Texas (-17.5) (8/10)</t>
  </si>
  <si>
    <t>#22 North Texas (10/10)</t>
  </si>
  <si>
    <t>• SP+ advantage: #22 North Texas (11.8) is 24.1 points stronger than Rice (-12.3)&lt;br&gt;• Strong win probability: Model gives #22 North Texas 99% chance to win&lt;br&gt;• Recent form: #22 North Texas 4-1 (last 5) vs Rice 2-3</t>
  </si>
  <si>
    <t>Colorado State</t>
  </si>
  <si>
    <t>Boise State</t>
  </si>
  <si>
    <t>Colorado State (+17.5) (1/10)</t>
  </si>
  <si>
    <t>Boise State (10/10)</t>
  </si>
  <si>
    <t>• SP+ underdog: Colorado State (-13.8) vs Boise State (4.6) - model sees value despite strength gap&lt;br&gt;• Point differential: Colorado State averaging 19.0 PPG vs allowing 28.4 PPG&lt;br&gt;• Boise State on short week (6 days rest) - potential fatigue factor</t>
  </si>
  <si>
    <t>San José State</t>
  </si>
  <si>
    <t>San Diego State</t>
  </si>
  <si>
    <t>-12.5</t>
  </si>
  <si>
    <t>San José State (+12.5) (6/10)</t>
  </si>
  <si>
    <t>San Diego State (7/10)</t>
  </si>
  <si>
    <t>50.5</t>
  </si>
  <si>
    <t>OVER (2/10)</t>
  </si>
  <si>
    <t>• SP+ underdog: San José State (-7.4) vs San Diego State (3.7) - model sees value despite strength gap&lt;br&gt;• Point differential: San José State averaging 24.8 PPG vs allowing 36.8 PPG&lt;br&gt;• San Diego State on short week (6 days rest) - potential fatigue factor</t>
  </si>
  <si>
    <t>#14 Miami</t>
  </si>
  <si>
    <t>Virginia Tech</t>
  </si>
  <si>
    <t>Virginia Tech (+18.5) (1/10)</t>
  </si>
  <si>
    <t>#14 Miami (10/10)</t>
  </si>
  <si>
    <t>48.5</t>
  </si>
  <si>
    <t>• SP+ underdog: Virginia Tech (-4.0) vs Miami (18.3) - model sees value despite strength gap&lt;br&gt;• Point differential: Virginia Tech averaging 23.0 PPG vs allowing 32.2 PPG&lt;br&gt;• Virginia Tech on short week (6 days rest) - potential fatigue factor</t>
  </si>
  <si>
    <t>Tulsa</t>
  </si>
  <si>
    <t>Army</t>
  </si>
  <si>
    <t>Army (-10.0) (1/10)</t>
  </si>
  <si>
    <t>Army (9/10)</t>
  </si>
  <si>
    <t>• Rest advantage: Army has 8 more rest days (14 vs 6 days) - key factor</t>
  </si>
  <si>
    <t>#23 Missouri</t>
  </si>
  <si>
    <t>#8 Oklahoma</t>
  </si>
  <si>
    <t>#8 Oklahoma (-6.5) (3/10)</t>
  </si>
  <si>
    <t>#8 Oklahoma (5/10)</t>
  </si>
  <si>
    <t>• Team strength: #8 Oklahoma SP+ 20.7 vs Missouri SP+ 15.4 (5.3 pt advantage)&lt;br&gt;• Win probability: #8 Oklahoma 64% vs Missouri 36%&lt;br&gt;• Form advantage: #8 Oklahoma 3-2 (60%) vs Missouri 1-3</t>
  </si>
  <si>
    <t>Delaware</t>
  </si>
  <si>
    <t>Wake Forest</t>
  </si>
  <si>
    <t>Wake Forest (-17.5) (5/10)</t>
  </si>
  <si>
    <t>Wake Forest (10/10)</t>
  </si>
  <si>
    <t>• SP+ advantage: Wake Forest (2.0) is 12.7 points stronger than Delaware (-10.7)&lt;br&gt;• Strong win probability: Model gives Wake Forest 97% chance to win&lt;br&gt;• Recent form: Wake Forest 4-1 (last 5) vs Delaware 2-3</t>
  </si>
  <si>
    <t>Charlotte</t>
  </si>
  <si>
    <t>#4 Georgia</t>
  </si>
  <si>
    <t>-43.5</t>
  </si>
  <si>
    <t>Charlotte (+43.5) (8/10)</t>
  </si>
  <si>
    <t>#4 Georgia (10/10)</t>
  </si>
  <si>
    <t>53.5</t>
  </si>
  <si>
    <t>OVER (1/10)</t>
  </si>
  <si>
    <t>• SP+ underdog: Charlotte (-22.7) vs Georgia (20.2) - model sees value despite strength gap&lt;br&gt;• Point differential: Charlotte averaging 14.0 PPG vs allowing 40.6 PPG&lt;br&gt;• Georgia on short week (6 days rest) - potential fatigue factor</t>
  </si>
  <si>
    <t>Old Dominion</t>
  </si>
  <si>
    <t>Georgia Southern</t>
  </si>
  <si>
    <t>+10.0</t>
  </si>
  <si>
    <t>Old Dominion (-10.0) (2/10)</t>
  </si>
  <si>
    <t>Old Dominion (10/10)</t>
  </si>
  <si>
    <t>• SP+ advantage: Old Dominion (1.9) is 12.7 points stronger than Georgia Southern (-10.8)&lt;br&gt;• Strong win probability: Model gives Old Dominion 81% chance to win&lt;br&gt;• UNDER edge: Model total 55 vs market 62 (7.6 pt difference)</t>
  </si>
  <si>
    <t>Ball State</t>
  </si>
  <si>
    <t>Toledo</t>
  </si>
  <si>
    <t>-28.5</t>
  </si>
  <si>
    <t>Ball State (+28.5) (4/10)</t>
  </si>
  <si>
    <t>Toledo (10/10)</t>
  </si>
  <si>
    <t>• SP+ underdog: Ball State (-20.1) vs Toledo (5.0) - model sees value despite strength gap&lt;br&gt;• Point differential: Ball State averaging 15.0 PPG vs allowing 25.6 PPG</t>
  </si>
  <si>
    <t>Nevada</t>
  </si>
  <si>
    <t>Wyoming</t>
  </si>
  <si>
    <t>Nevada (+6.5) (2/10)</t>
  </si>
  <si>
    <t>Wyoming (6/10)</t>
  </si>
  <si>
    <t>40.5</t>
  </si>
  <si>
    <t>• SP+ underdog: Nevada (-18.5) vs Wyoming (-5.8) - model sees value despite strength gap&lt;br&gt;• Point differential: Nevada averaging 20.8 PPG vs allowing 30.6 PPG&lt;br&gt;• OVER edge: Model total 46 vs market 40 (5.8 pt difference)</t>
  </si>
  <si>
    <t>Missouri State</t>
  </si>
  <si>
    <t>Kennesaw State</t>
  </si>
  <si>
    <t>Kennesaw State (-6.5) (2/10)</t>
  </si>
  <si>
    <t>Kennesaw State (7/10)</t>
  </si>
  <si>
    <t>• UNDER edge: Model total 50 vs market 56 (5.8 pt difference)&lt;br&gt;• Kennesaw State on short week (6 days rest) - potential fatigue factor</t>
  </si>
  <si>
    <t>Marshall</t>
  </si>
  <si>
    <t>App State</t>
  </si>
  <si>
    <t>+5.5</t>
  </si>
  <si>
    <t>+4.5</t>
  </si>
  <si>
    <t>App State (+5.5) (4/10)</t>
  </si>
  <si>
    <t>Marshall (7/10)</t>
  </si>
  <si>
    <t>56.5</t>
  </si>
  <si>
    <t>• Close matchup: App State SP+ -10.2 vs Marshall SP+ -5.4&lt;br&gt;• Point differential: App State averaging 26.4 PPG vs allowing 34.4 PPG&lt;br&gt;• App State on short week (6 days rest) - potential fatigue factor</t>
  </si>
  <si>
    <t>New Mexico State</t>
  </si>
  <si>
    <t>UTEP</t>
  </si>
  <si>
    <t>New Mexico State (+3.0) (1/10)</t>
  </si>
  <si>
    <t>UTEP (3/10)</t>
  </si>
  <si>
    <t>44.5</t>
  </si>
  <si>
    <t>• Defensive battle expected (total 44)&lt;br&gt;• New Mexico State on short week (6 days rest) - potential fatigue factor</t>
  </si>
  <si>
    <t>Liberty</t>
  </si>
  <si>
    <t>Louisiana Tech</t>
  </si>
  <si>
    <t>+1.5</t>
  </si>
  <si>
    <t>Louisiana Tech (+1.5) (9/10)</t>
  </si>
  <si>
    <t>Louisiana Tech (10/10)</t>
  </si>
  <si>
    <t>• Team strength: Louisiana Tech SP+ 0.5 vs Liberty SP+ -7.4 (7.9 pt advantage)&lt;br&gt;• Strong win probability: Model gives Louisiana Tech 85% chance to win&lt;br&gt;• OVER edge: Model total 53 vs market 46 (7.2 pt difference)</t>
  </si>
  <si>
    <t>UConn</t>
  </si>
  <si>
    <t>Florida Atlantic</t>
  </si>
  <si>
    <t>UConn (-6.6) (1/10)</t>
  </si>
  <si>
    <t>UConn (7/10)</t>
  </si>
  <si>
    <t>60.5 (est.)</t>
  </si>
  <si>
    <t>• Florida Atlantic on short week (6 days rest) - potential fatigue factor&lt;br&gt;• Low confidence (0/10) - smaller edge</t>
  </si>
  <si>
    <t>Sam Houston</t>
  </si>
  <si>
    <t>Middle Tennessee</t>
  </si>
  <si>
    <t>Sam Houston (+6.5) (3/10)</t>
  </si>
  <si>
    <t>Middle Tennessee (4/10)</t>
  </si>
  <si>
    <t>• Close matchup: Sam Houston SP+ -25.1 vs Middle Tennessee SP+ -20.3&lt;br&gt;• Form advantage: Sam Houston 2-3 (40%) vs Middle Tennessee 0-5&lt;br&gt;• Middle Tennessee on short week (6 days rest) - potential fatigue factor</t>
  </si>
  <si>
    <t>Southern Miss</t>
  </si>
  <si>
    <t>South Alabama</t>
  </si>
  <si>
    <t>Southern Miss (-1.5) (6/10)</t>
  </si>
  <si>
    <t>Southern Miss (7/10)</t>
  </si>
  <si>
    <t>• SP+ advantage: Southern Miss (-1.4) is 11.5 points stronger than South Alabama (-12.9)&lt;br&gt;• Strong win probability: Model gives Southern Miss 71% chance to win&lt;br&gt;• Recent form: Southern Miss 4-1 (last 5) vs South Alabama 2-3</t>
  </si>
  <si>
    <t>Jacksonville State</t>
  </si>
  <si>
    <t>Florida International</t>
  </si>
  <si>
    <t>Florida International (+1.5) (2/10)</t>
  </si>
  <si>
    <t>Jacksonville State (1/10)</t>
  </si>
  <si>
    <t>• Strength matchup: Florida International SP+ -13.6 vs Jacksonville State SP+ -8.0&lt;br&gt;• Florida International on short week (6 days rest) - potential fatigue factor</t>
  </si>
  <si>
    <t>Syracuse</t>
  </si>
  <si>
    <t>#9 Notre Dame</t>
  </si>
  <si>
    <t>-36.5</t>
  </si>
  <si>
    <t>-35.5</t>
  </si>
  <si>
    <t>Syracuse (+36.5) (1/10)</t>
  </si>
  <si>
    <t>#9 Notre Dame (10/10)</t>
  </si>
  <si>
    <t>• SP+ underdog: Syracuse (-8.1) vs Notre Dame (22.5) - model sees value despite strength gap&lt;br&gt;• Point differential: Syracuse averaging 13.4 PPG vs allowing 33.4 PPG&lt;br&gt;• Rest advantage: Syracuse has 7 more rest days (14 vs 7 days) - key factor</t>
  </si>
  <si>
    <t>Kentucky</t>
  </si>
  <si>
    <t>#12 Vanderbilt</t>
  </si>
  <si>
    <t>Kentucky (+8.5) (3/10)</t>
  </si>
  <si>
    <t>#12 Vanderbilt (9/10)</t>
  </si>
  <si>
    <t>• SP+ underdog: Kentucky (5.4) vs Vanderbilt (16.5) - model sees value despite strength gap&lt;br&gt;• Rest advantage: Vanderbilt has 6 more rest days (13 vs 7 days) - key factor</t>
  </si>
  <si>
    <t>Oklahoma State</t>
  </si>
  <si>
    <t>UCF</t>
  </si>
  <si>
    <t>UCF (-13.5) (8/10)</t>
  </si>
  <si>
    <t>UCF (10/10)</t>
  </si>
  <si>
    <t>47.5</t>
  </si>
  <si>
    <t>• SP+ advantage: UCF (3.8) is 21.3 points stronger than Oklahoma State (-17.5)&lt;br&gt;• Strong win probability: Model gives UCF 97% chance to win&lt;br&gt;• Point differential: UCF averaging 19.0 PPG vs allowing 28.2 PPG</t>
  </si>
  <si>
    <t>Georgia State</t>
  </si>
  <si>
    <t>Troy</t>
  </si>
  <si>
    <t>-10.5</t>
  </si>
  <si>
    <t>Troy (-10.0) (4/10)</t>
  </si>
  <si>
    <t>Troy (10/10)</t>
  </si>
  <si>
    <t>• SP+ advantage: Troy (-3.8) is 18.3 points stronger than Georgia State (-22.1)&lt;br&gt;• Strong win probability: Model gives Troy 85% chance to win&lt;br&gt;• Form advantage: Troy 3-2 (60%) vs Georgia State 0-5</t>
  </si>
  <si>
    <t>Coastal Carolina</t>
  </si>
  <si>
    <t>South Carolina</t>
  </si>
  <si>
    <t>-24.5</t>
  </si>
  <si>
    <t>-23.5</t>
  </si>
  <si>
    <t>Coastal Carolina (+24.5) (7/10)</t>
  </si>
  <si>
    <t>South Carolina (10/10)</t>
  </si>
  <si>
    <t>49.5</t>
  </si>
  <si>
    <t>• SP+ underdog: Coastal Carolina (-8.9) vs South Carolina (3.6) - model sees value despite strength gap&lt;br&gt;• Recent form: Coastal Carolina 4-1 (last 5) vs South Carolina 0-5&lt;br&gt;• Point differential: Coastal Carolina averaging 38.4 PPG vs allowing 28.8 PPG</t>
  </si>
  <si>
    <t>UL Monroe</t>
  </si>
  <si>
    <t>Texas State</t>
  </si>
  <si>
    <t>-19.5</t>
  </si>
  <si>
    <t>Texas State (-19.5) (5/10)</t>
  </si>
  <si>
    <t>Texas State (10/10)</t>
  </si>
  <si>
    <t>• SP+ advantage: Texas State (-6.7) is 13.1 points stronger than UL Monroe (-19.8)&lt;br&gt;• Strong win probability: Model gives Texas State 97% chance to win&lt;br&gt;• Point differential: Texas State averaging 35.6 PPG vs allowing 39.2 PPG</t>
  </si>
  <si>
    <t>New Mexico</t>
  </si>
  <si>
    <t>Air Force</t>
  </si>
  <si>
    <t>Air Force (+4.0) (9/10)</t>
  </si>
  <si>
    <t>Air Force (9/10)</t>
  </si>
  <si>
    <t>• Strong win probability: Model gives Air Force 70% chance to win&lt;br&gt;• High confidence (9/10)</t>
  </si>
  <si>
    <t>California</t>
  </si>
  <si>
    <t>Stanford</t>
  </si>
  <si>
    <t>Stanford (+3.5) (4/10)</t>
  </si>
  <si>
    <t>Stanford (4/10)</t>
  </si>
  <si>
    <t>• Strength matchup: Stanford SP+ -11.2 vs California SP+ -2.8</t>
  </si>
  <si>
    <t>Western Kentucky</t>
  </si>
  <si>
    <t>LSU</t>
  </si>
  <si>
    <t>-21.5</t>
  </si>
  <si>
    <t>LSU (-21.5) (4/10)</t>
  </si>
  <si>
    <t>LSU (10/10)</t>
  </si>
  <si>
    <t>• SP+ advantage: LSU (11.4) is 12.3 points stronger than Western Kentucky (-0.9)&lt;br&gt;• Strong win probability: Model gives LSU 98% chance to win&lt;br&gt;• Point differential: LSU averaging 20.2 PPG vs allowing 26.4 PPG</t>
  </si>
  <si>
    <t>Utah State</t>
  </si>
  <si>
    <t>Fresno State</t>
  </si>
  <si>
    <t>Utah State (+2.5) (6/10)</t>
  </si>
  <si>
    <t>Utah State (4/10)</t>
  </si>
  <si>
    <t>• Win probability: Utah State 61% vs Fresno State 39%</t>
  </si>
  <si>
    <t>Y</t>
  </si>
  <si>
    <t>N</t>
  </si>
  <si>
    <t>Pittspurgh</t>
  </si>
  <si>
    <t>Ohio State</t>
  </si>
  <si>
    <t>Michigan</t>
  </si>
  <si>
    <t>BYU</t>
  </si>
  <si>
    <t>Oregon</t>
  </si>
  <si>
    <t>James Madison</t>
  </si>
  <si>
    <t>Tulane</t>
  </si>
  <si>
    <t>Tennessee</t>
  </si>
  <si>
    <t>Utah</t>
  </si>
  <si>
    <t>Texas</t>
  </si>
  <si>
    <t>North Texas</t>
  </si>
  <si>
    <t>San Diego</t>
  </si>
  <si>
    <t>Miami</t>
  </si>
  <si>
    <t>Oklahoma</t>
  </si>
  <si>
    <t>Georgia</t>
  </si>
  <si>
    <t>Uconn</t>
  </si>
  <si>
    <t>Middle Tennessee State</t>
  </si>
  <si>
    <t>Notre Dame</t>
  </si>
  <si>
    <t>Vanderbilt</t>
  </si>
  <si>
    <t>Akron 3 pt win</t>
  </si>
  <si>
    <t>Ohio 28 pt win</t>
  </si>
  <si>
    <t>Western Michigan 16 pt win</t>
  </si>
  <si>
    <t>Miami (OH) 17 pt win</t>
  </si>
  <si>
    <t>Central Michigan 12 pt win</t>
  </si>
  <si>
    <t>Louisana 4 pt win</t>
  </si>
  <si>
    <t>NC State 10 pt win</t>
  </si>
  <si>
    <t>UNLV 28 pt win</t>
  </si>
  <si>
    <t>TCU 3 pt win</t>
  </si>
  <si>
    <t>Ohio State 33 pt win</t>
  </si>
  <si>
    <t>Michigan 25 pt win</t>
  </si>
  <si>
    <t>South Florida 30 pt win</t>
  </si>
  <si>
    <t>Arizona State 25 pt win</t>
  </si>
  <si>
    <t xml:space="preserve">Arizona 24 pt win </t>
  </si>
  <si>
    <t>BYU 12 pt win</t>
  </si>
  <si>
    <t>Wisconsin 17 pt win</t>
  </si>
  <si>
    <t>Iowa State 24 pt win</t>
  </si>
  <si>
    <t>Iowa 3 pt win</t>
  </si>
  <si>
    <t>Oregon 15 pt win</t>
  </si>
  <si>
    <t>Washington 34 pt win</t>
  </si>
  <si>
    <t>UTSA 34 pt win</t>
  </si>
  <si>
    <t>Duke 7 pt win</t>
  </si>
  <si>
    <t>Georgia 32 pt win</t>
  </si>
  <si>
    <t>Pittsburgh 14 pt win</t>
  </si>
  <si>
    <t>James Madison 4 pt win</t>
  </si>
  <si>
    <t>Tulane 24 pt win</t>
  </si>
  <si>
    <t>Tennessee 20 pt win</t>
  </si>
  <si>
    <t>SMU 32 pt win</t>
  </si>
  <si>
    <t>Northwestern 3 pt win</t>
  </si>
  <si>
    <t>Penn State 27 pt win</t>
  </si>
  <si>
    <t>Utah 4 pt win</t>
  </si>
  <si>
    <t>Texas 15 pt win</t>
  </si>
  <si>
    <t>North Texas 32 pt win</t>
  </si>
  <si>
    <t>Boise State 28 pt win</t>
  </si>
  <si>
    <t>San Diego State 22 pt win</t>
  </si>
  <si>
    <t>Miami 17 pt win</t>
  </si>
  <si>
    <t>Tulsa 1 pt win</t>
  </si>
  <si>
    <t>Oklahoma 11 pt win</t>
  </si>
  <si>
    <t>Wake forest 38 pt win</t>
  </si>
  <si>
    <t>Old Dominion 35 pt win</t>
  </si>
  <si>
    <t>Toledo 29 pt win</t>
  </si>
  <si>
    <t>Nevada 6 pt win</t>
  </si>
  <si>
    <t>Kennesaw State 7 pt win</t>
  </si>
  <si>
    <t>App State 2 pt win</t>
  </si>
  <si>
    <t>New Mexico State 3 pt win</t>
  </si>
  <si>
    <t xml:space="preserve">Louisiana Tech </t>
  </si>
  <si>
    <t>Overtime</t>
  </si>
  <si>
    <t>Uconn 3 pt win</t>
  </si>
  <si>
    <t>No Pick</t>
  </si>
  <si>
    <t>Middle Tennessee 14 pt win</t>
  </si>
  <si>
    <t>South Alabama 7 pt win</t>
  </si>
  <si>
    <t>Florida International 6 pt win</t>
  </si>
  <si>
    <t>Notre Dame 63 pt win</t>
  </si>
  <si>
    <t>Vanderbilt 28 pt win</t>
  </si>
  <si>
    <t>UCF 3 pt win</t>
  </si>
  <si>
    <t>Troy 12 pt win</t>
  </si>
  <si>
    <t>South Carolina 44 pt win</t>
  </si>
  <si>
    <t>Texas State 17 pt win</t>
  </si>
  <si>
    <t>New Mexico 17 pt win</t>
  </si>
  <si>
    <t>Stanford 21 pt win</t>
  </si>
  <si>
    <t>LSU 3 pt win</t>
  </si>
  <si>
    <t>Utah State 11 pt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</si>
</sst>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0" xfId="0" applyFill="1" applyBorder="1"/>
  </cellXfs>
  <cellStyles count="1">
    <cellStyle name="Normal" xfId="0" builtinId="0"/>
  </cellStyles>
  <dxfs count="7"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topLeftCell="F16" zoomScale="80" zoomScaleNormal="80" workbookViewId="0">
      <selection activeCell="N16" sqref="N1:N1048576"/>
    </sheetView>
  </sheetViews>
  <sheetFormatPr baseColWidth="10" defaultColWidth="8.83203125" defaultRowHeight="15" x14ac:dyDescent="0.2"/>
  <cols>
    <col min="1" max="1" width="14.83203125" bestFit="1" customWidth="1"/>
    <col min="2" max="2" width="17" bestFit="1" customWidth="1"/>
    <col min="5" max="5" width="27" bestFit="1" customWidth="1"/>
    <col min="6" max="6" width="22.33203125" bestFit="1" customWidth="1"/>
    <col min="8" max="8" width="11.5" bestFit="1" customWidth="1"/>
    <col min="9" max="9" width="213.6640625" hidden="1" customWidth="1"/>
    <col min="10" max="10" width="14" bestFit="1" customWidth="1"/>
    <col min="11" max="11" width="23.5" bestFit="1" customWidth="1"/>
    <col min="12" max="12" width="20" bestFit="1" customWidth="1"/>
    <col min="13" max="13" width="18.6640625" bestFit="1" customWidth="1"/>
    <col min="14" max="14" width="20.8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18</v>
      </c>
      <c r="I2" t="s">
        <v>22</v>
      </c>
      <c r="K2" t="s">
        <v>419</v>
      </c>
      <c r="M2" t="s">
        <v>16</v>
      </c>
      <c r="O2">
        <v>35</v>
      </c>
    </row>
    <row r="3" spans="1:16" x14ac:dyDescent="0.2">
      <c r="A3" t="s">
        <v>23</v>
      </c>
      <c r="B3" t="s">
        <v>24</v>
      </c>
      <c r="C3" t="s">
        <v>18</v>
      </c>
      <c r="D3" t="s">
        <v>18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K3" t="s">
        <v>420</v>
      </c>
      <c r="M3" t="s">
        <v>24</v>
      </c>
      <c r="O3">
        <v>56</v>
      </c>
    </row>
    <row r="4" spans="1:16" x14ac:dyDescent="0.2">
      <c r="A4" t="s">
        <v>29</v>
      </c>
      <c r="B4" t="s">
        <v>30</v>
      </c>
      <c r="C4" t="s">
        <v>18</v>
      </c>
      <c r="D4" t="s">
        <v>18</v>
      </c>
      <c r="E4" t="s">
        <v>31</v>
      </c>
      <c r="F4" t="s">
        <v>32</v>
      </c>
      <c r="G4" t="s">
        <v>33</v>
      </c>
      <c r="H4" t="s">
        <v>18</v>
      </c>
      <c r="I4" t="s">
        <v>34</v>
      </c>
      <c r="K4" t="s">
        <v>421</v>
      </c>
      <c r="M4" t="s">
        <v>29</v>
      </c>
      <c r="O4">
        <v>54</v>
      </c>
    </row>
    <row r="5" spans="1:16" x14ac:dyDescent="0.2">
      <c r="A5" t="s">
        <v>35</v>
      </c>
      <c r="B5" t="s">
        <v>36</v>
      </c>
      <c r="C5" t="s">
        <v>18</v>
      </c>
      <c r="D5" t="s">
        <v>18</v>
      </c>
      <c r="E5" t="s">
        <v>37</v>
      </c>
      <c r="F5" t="s">
        <v>38</v>
      </c>
      <c r="G5" t="s">
        <v>39</v>
      </c>
      <c r="H5" t="s">
        <v>18</v>
      </c>
      <c r="I5" t="s">
        <v>40</v>
      </c>
      <c r="K5" s="4" t="s">
        <v>422</v>
      </c>
      <c r="M5" s="4" t="s">
        <v>35</v>
      </c>
      <c r="O5">
        <v>57</v>
      </c>
    </row>
    <row r="6" spans="1:16" x14ac:dyDescent="0.2">
      <c r="A6" t="s">
        <v>41</v>
      </c>
      <c r="B6" t="s">
        <v>42</v>
      </c>
      <c r="C6" t="s">
        <v>18</v>
      </c>
      <c r="D6" t="s">
        <v>18</v>
      </c>
      <c r="E6" t="s">
        <v>43</v>
      </c>
      <c r="F6" t="s">
        <v>44</v>
      </c>
      <c r="G6" t="s">
        <v>45</v>
      </c>
      <c r="H6" t="s">
        <v>18</v>
      </c>
      <c r="I6" t="s">
        <v>40</v>
      </c>
      <c r="K6" s="4" t="s">
        <v>423</v>
      </c>
      <c r="M6" s="4" t="s">
        <v>41</v>
      </c>
      <c r="O6">
        <v>44</v>
      </c>
    </row>
    <row r="7" spans="1:16" x14ac:dyDescent="0.2">
      <c r="A7" t="s">
        <v>46</v>
      </c>
      <c r="B7" t="s">
        <v>47</v>
      </c>
      <c r="C7" t="s">
        <v>18</v>
      </c>
      <c r="D7" t="s">
        <v>18</v>
      </c>
      <c r="E7" t="s">
        <v>48</v>
      </c>
      <c r="F7" t="s">
        <v>49</v>
      </c>
      <c r="G7" t="s">
        <v>50</v>
      </c>
      <c r="H7" t="s">
        <v>18</v>
      </c>
      <c r="I7" t="s">
        <v>40</v>
      </c>
      <c r="K7" s="4" t="s">
        <v>424</v>
      </c>
      <c r="M7" s="4" t="s">
        <v>46</v>
      </c>
      <c r="O7">
        <v>64</v>
      </c>
    </row>
    <row r="8" spans="1:16" x14ac:dyDescent="0.2">
      <c r="A8" t="s">
        <v>51</v>
      </c>
      <c r="B8" t="s">
        <v>52</v>
      </c>
      <c r="C8" t="s">
        <v>53</v>
      </c>
      <c r="D8" t="s">
        <v>53</v>
      </c>
      <c r="E8" s="3" t="s">
        <v>54</v>
      </c>
      <c r="F8" s="2" t="s">
        <v>55</v>
      </c>
      <c r="G8" t="s">
        <v>56</v>
      </c>
      <c r="H8" s="3" t="s">
        <v>57</v>
      </c>
      <c r="I8" t="s">
        <v>58</v>
      </c>
      <c r="J8" t="s">
        <v>398</v>
      </c>
      <c r="K8" s="4" t="s">
        <v>425</v>
      </c>
      <c r="L8" t="s">
        <v>399</v>
      </c>
      <c r="M8" t="s">
        <v>52</v>
      </c>
      <c r="N8" t="s">
        <v>398</v>
      </c>
      <c r="O8">
        <v>32</v>
      </c>
    </row>
    <row r="9" spans="1:16" x14ac:dyDescent="0.2">
      <c r="A9" t="s">
        <v>59</v>
      </c>
      <c r="B9" t="s">
        <v>60</v>
      </c>
      <c r="C9" t="s">
        <v>61</v>
      </c>
      <c r="D9" t="s">
        <v>61</v>
      </c>
      <c r="E9" s="3" t="s">
        <v>62</v>
      </c>
      <c r="F9" s="3" t="s">
        <v>63</v>
      </c>
      <c r="G9" t="s">
        <v>64</v>
      </c>
      <c r="H9" s="3" t="s">
        <v>65</v>
      </c>
      <c r="I9" t="s">
        <v>66</v>
      </c>
      <c r="J9" s="3" t="s">
        <v>398</v>
      </c>
      <c r="K9" s="4" t="s">
        <v>426</v>
      </c>
      <c r="L9" s="3" t="s">
        <v>398</v>
      </c>
      <c r="M9" t="s">
        <v>60</v>
      </c>
      <c r="N9" s="3" t="s">
        <v>398</v>
      </c>
      <c r="O9">
        <v>48</v>
      </c>
    </row>
    <row r="10" spans="1:16" x14ac:dyDescent="0.2">
      <c r="A10" t="s">
        <v>67</v>
      </c>
      <c r="B10" t="s">
        <v>68</v>
      </c>
      <c r="C10" t="s">
        <v>69</v>
      </c>
      <c r="D10" t="s">
        <v>69</v>
      </c>
      <c r="E10" s="3" t="s">
        <v>70</v>
      </c>
      <c r="F10" s="2" t="s">
        <v>71</v>
      </c>
      <c r="G10" t="s">
        <v>72</v>
      </c>
      <c r="H10" s="3" t="s">
        <v>65</v>
      </c>
      <c r="I10" t="s">
        <v>73</v>
      </c>
      <c r="J10" t="s">
        <v>398</v>
      </c>
      <c r="K10" s="4" t="s">
        <v>427</v>
      </c>
      <c r="L10" t="s">
        <v>399</v>
      </c>
      <c r="M10" t="s">
        <v>67</v>
      </c>
      <c r="N10" t="s">
        <v>398</v>
      </c>
      <c r="O10">
        <v>31</v>
      </c>
    </row>
    <row r="11" spans="1:16" x14ac:dyDescent="0.2">
      <c r="A11" t="s">
        <v>74</v>
      </c>
      <c r="B11" t="s">
        <v>75</v>
      </c>
      <c r="C11" t="s">
        <v>76</v>
      </c>
      <c r="D11" t="s">
        <v>18</v>
      </c>
      <c r="E11" s="2" t="s">
        <v>77</v>
      </c>
      <c r="F11" s="3" t="s">
        <v>78</v>
      </c>
      <c r="G11" t="s">
        <v>72</v>
      </c>
      <c r="H11" s="3" t="s">
        <v>57</v>
      </c>
      <c r="I11" t="s">
        <v>79</v>
      </c>
      <c r="J11" t="s">
        <v>399</v>
      </c>
      <c r="K11" s="4" t="s">
        <v>428</v>
      </c>
      <c r="L11" t="s">
        <v>398</v>
      </c>
      <c r="M11" t="s">
        <v>401</v>
      </c>
      <c r="N11" t="s">
        <v>398</v>
      </c>
      <c r="O11">
        <v>51</v>
      </c>
    </row>
    <row r="12" spans="1:16" x14ac:dyDescent="0.2">
      <c r="A12" t="s">
        <v>80</v>
      </c>
      <c r="B12" t="s">
        <v>81</v>
      </c>
      <c r="C12" t="s">
        <v>82</v>
      </c>
      <c r="D12" t="s">
        <v>83</v>
      </c>
      <c r="E12" s="2" t="s">
        <v>84</v>
      </c>
      <c r="F12" s="3" t="s">
        <v>85</v>
      </c>
      <c r="G12" t="s">
        <v>86</v>
      </c>
      <c r="H12" s="3" t="s">
        <v>87</v>
      </c>
      <c r="I12" t="s">
        <v>88</v>
      </c>
      <c r="J12" t="s">
        <v>399</v>
      </c>
      <c r="K12" s="4" t="s">
        <v>429</v>
      </c>
      <c r="L12" t="s">
        <v>398</v>
      </c>
      <c r="M12" t="s">
        <v>402</v>
      </c>
      <c r="N12" t="s">
        <v>398</v>
      </c>
      <c r="O12">
        <v>65</v>
      </c>
    </row>
    <row r="13" spans="1:16" x14ac:dyDescent="0.2">
      <c r="A13" t="s">
        <v>89</v>
      </c>
      <c r="B13" t="s">
        <v>90</v>
      </c>
      <c r="C13" t="s">
        <v>91</v>
      </c>
      <c r="D13" t="s">
        <v>91</v>
      </c>
      <c r="E13" s="3" t="s">
        <v>92</v>
      </c>
      <c r="F13" s="3" t="s">
        <v>93</v>
      </c>
      <c r="G13" t="s">
        <v>94</v>
      </c>
      <c r="H13" s="3" t="s">
        <v>65</v>
      </c>
      <c r="I13" t="s">
        <v>95</v>
      </c>
      <c r="J13" s="3" t="s">
        <v>398</v>
      </c>
      <c r="K13" s="4" t="s">
        <v>430</v>
      </c>
      <c r="L13" s="3" t="s">
        <v>398</v>
      </c>
      <c r="M13" t="s">
        <v>89</v>
      </c>
      <c r="N13" s="3" t="s">
        <v>398</v>
      </c>
      <c r="O13">
        <v>66</v>
      </c>
    </row>
    <row r="14" spans="1:16" x14ac:dyDescent="0.2">
      <c r="A14" t="s">
        <v>96</v>
      </c>
      <c r="B14" t="s">
        <v>97</v>
      </c>
      <c r="C14" t="s">
        <v>98</v>
      </c>
      <c r="D14" t="s">
        <v>99</v>
      </c>
      <c r="E14" s="2" t="s">
        <v>100</v>
      </c>
      <c r="F14" s="3" t="s">
        <v>101</v>
      </c>
      <c r="G14" t="s">
        <v>86</v>
      </c>
      <c r="H14" s="3" t="s">
        <v>102</v>
      </c>
      <c r="I14" t="s">
        <v>103</v>
      </c>
      <c r="J14" t="s">
        <v>399</v>
      </c>
      <c r="K14" s="4" t="s">
        <v>431</v>
      </c>
      <c r="L14" t="s">
        <v>398</v>
      </c>
      <c r="M14" t="s">
        <v>96</v>
      </c>
      <c r="N14" t="s">
        <v>398</v>
      </c>
      <c r="O14">
        <v>59</v>
      </c>
    </row>
    <row r="15" spans="1:16" x14ac:dyDescent="0.2">
      <c r="A15" t="s">
        <v>104</v>
      </c>
      <c r="B15" t="s">
        <v>105</v>
      </c>
      <c r="C15" t="s">
        <v>106</v>
      </c>
      <c r="D15" t="s">
        <v>106</v>
      </c>
      <c r="E15" s="2" t="s">
        <v>107</v>
      </c>
      <c r="F15" s="3" t="s">
        <v>108</v>
      </c>
      <c r="G15" t="s">
        <v>109</v>
      </c>
      <c r="H15" s="3" t="s">
        <v>110</v>
      </c>
      <c r="I15" t="s">
        <v>111</v>
      </c>
      <c r="J15" t="s">
        <v>399</v>
      </c>
      <c r="K15" s="4" t="s">
        <v>432</v>
      </c>
      <c r="L15" t="s">
        <v>398</v>
      </c>
      <c r="M15" t="s">
        <v>105</v>
      </c>
      <c r="N15" t="s">
        <v>398</v>
      </c>
      <c r="O15">
        <v>58</v>
      </c>
    </row>
    <row r="16" spans="1:16" x14ac:dyDescent="0.2">
      <c r="A16" t="s">
        <v>112</v>
      </c>
      <c r="B16" t="s">
        <v>113</v>
      </c>
      <c r="C16" t="s">
        <v>114</v>
      </c>
      <c r="D16" t="s">
        <v>114</v>
      </c>
      <c r="E16" s="2" t="s">
        <v>115</v>
      </c>
      <c r="F16" s="3" t="s">
        <v>116</v>
      </c>
      <c r="G16" t="s">
        <v>72</v>
      </c>
      <c r="H16" s="3" t="s">
        <v>65</v>
      </c>
      <c r="I16" t="s">
        <v>117</v>
      </c>
      <c r="J16" t="s">
        <v>399</v>
      </c>
      <c r="K16" s="4" t="s">
        <v>433</v>
      </c>
      <c r="L16" t="s">
        <v>398</v>
      </c>
      <c r="M16" t="s">
        <v>403</v>
      </c>
      <c r="N16" t="s">
        <v>398</v>
      </c>
      <c r="O16">
        <v>40</v>
      </c>
    </row>
    <row r="17" spans="1:15" x14ac:dyDescent="0.2">
      <c r="A17" t="s">
        <v>118</v>
      </c>
      <c r="B17" t="s">
        <v>119</v>
      </c>
      <c r="C17" t="s">
        <v>120</v>
      </c>
      <c r="D17" t="s">
        <v>120</v>
      </c>
      <c r="E17" s="2" t="s">
        <v>121</v>
      </c>
      <c r="F17" s="2" t="s">
        <v>122</v>
      </c>
      <c r="G17" t="s">
        <v>123</v>
      </c>
      <c r="H17" s="2" t="s">
        <v>87</v>
      </c>
      <c r="I17" t="s">
        <v>124</v>
      </c>
      <c r="J17" s="2" t="s">
        <v>399</v>
      </c>
      <c r="K17" s="4" t="s">
        <v>434</v>
      </c>
      <c r="L17" s="2" t="s">
        <v>399</v>
      </c>
      <c r="M17" t="s">
        <v>119</v>
      </c>
      <c r="N17" s="2" t="s">
        <v>399</v>
      </c>
      <c r="O17">
        <v>37</v>
      </c>
    </row>
    <row r="18" spans="1:15" x14ac:dyDescent="0.2">
      <c r="A18" t="s">
        <v>125</v>
      </c>
      <c r="B18" t="s">
        <v>126</v>
      </c>
      <c r="C18" t="s">
        <v>127</v>
      </c>
      <c r="D18" t="s">
        <v>127</v>
      </c>
      <c r="E18" s="3" t="s">
        <v>128</v>
      </c>
      <c r="F18" s="3" t="s">
        <v>129</v>
      </c>
      <c r="G18" t="s">
        <v>72</v>
      </c>
      <c r="H18" s="3" t="s">
        <v>65</v>
      </c>
      <c r="I18" t="s">
        <v>130</v>
      </c>
      <c r="J18" s="3" t="s">
        <v>398</v>
      </c>
      <c r="K18" s="4" t="s">
        <v>435</v>
      </c>
      <c r="L18" s="3" t="s">
        <v>398</v>
      </c>
      <c r="M18" t="s">
        <v>126</v>
      </c>
      <c r="N18" s="3" t="s">
        <v>398</v>
      </c>
      <c r="O18">
        <v>52</v>
      </c>
    </row>
    <row r="19" spans="1:15" x14ac:dyDescent="0.2">
      <c r="A19" t="s">
        <v>131</v>
      </c>
      <c r="B19" t="s">
        <v>132</v>
      </c>
      <c r="C19" t="s">
        <v>133</v>
      </c>
      <c r="D19" t="s">
        <v>133</v>
      </c>
      <c r="E19" s="3" t="s">
        <v>134</v>
      </c>
      <c r="F19" s="3" t="s">
        <v>135</v>
      </c>
      <c r="G19" t="s">
        <v>136</v>
      </c>
      <c r="H19" s="2" t="s">
        <v>87</v>
      </c>
      <c r="I19" t="s">
        <v>137</v>
      </c>
      <c r="J19" t="s">
        <v>398</v>
      </c>
      <c r="K19" s="4" t="s">
        <v>436</v>
      </c>
      <c r="L19" t="s">
        <v>398</v>
      </c>
      <c r="M19" t="s">
        <v>132</v>
      </c>
      <c r="N19" t="s">
        <v>399</v>
      </c>
      <c r="O19">
        <v>37</v>
      </c>
    </row>
    <row r="20" spans="1:15" x14ac:dyDescent="0.2">
      <c r="A20" t="s">
        <v>138</v>
      </c>
      <c r="B20" t="s">
        <v>139</v>
      </c>
      <c r="C20" t="s">
        <v>140</v>
      </c>
      <c r="D20" t="s">
        <v>141</v>
      </c>
      <c r="E20" s="2" t="s">
        <v>142</v>
      </c>
      <c r="F20" s="3" t="s">
        <v>143</v>
      </c>
      <c r="G20" t="s">
        <v>56</v>
      </c>
      <c r="H20" s="2" t="s">
        <v>65</v>
      </c>
      <c r="I20" t="s">
        <v>144</v>
      </c>
      <c r="J20" t="s">
        <v>399</v>
      </c>
      <c r="K20" s="4" t="s">
        <v>437</v>
      </c>
      <c r="L20" t="s">
        <v>398</v>
      </c>
      <c r="M20" t="s">
        <v>404</v>
      </c>
      <c r="N20" t="s">
        <v>399</v>
      </c>
      <c r="O20">
        <v>69</v>
      </c>
    </row>
    <row r="21" spans="1:15" x14ac:dyDescent="0.2">
      <c r="A21" t="s">
        <v>145</v>
      </c>
      <c r="B21" t="s">
        <v>146</v>
      </c>
      <c r="C21" t="s">
        <v>147</v>
      </c>
      <c r="D21" t="s">
        <v>147</v>
      </c>
      <c r="E21" s="2" t="s">
        <v>148</v>
      </c>
      <c r="F21" s="3" t="s">
        <v>149</v>
      </c>
      <c r="G21" t="s">
        <v>150</v>
      </c>
      <c r="H21" s="3" t="s">
        <v>102</v>
      </c>
      <c r="I21" t="s">
        <v>151</v>
      </c>
      <c r="J21" t="s">
        <v>399</v>
      </c>
      <c r="K21" s="4" t="s">
        <v>438</v>
      </c>
      <c r="L21" t="s">
        <v>398</v>
      </c>
      <c r="M21" t="s">
        <v>145</v>
      </c>
      <c r="N21" t="s">
        <v>398</v>
      </c>
      <c r="O21">
        <v>62</v>
      </c>
    </row>
    <row r="22" spans="1:15" x14ac:dyDescent="0.2">
      <c r="A22" t="s">
        <v>152</v>
      </c>
      <c r="B22" t="s">
        <v>153</v>
      </c>
      <c r="C22" t="s">
        <v>114</v>
      </c>
      <c r="D22" t="s">
        <v>114</v>
      </c>
      <c r="E22" s="2" t="s">
        <v>154</v>
      </c>
      <c r="F22" s="2" t="s">
        <v>155</v>
      </c>
      <c r="G22" t="s">
        <v>109</v>
      </c>
      <c r="H22" s="2" t="s">
        <v>110</v>
      </c>
      <c r="I22" t="s">
        <v>156</v>
      </c>
      <c r="J22" s="2" t="s">
        <v>399</v>
      </c>
      <c r="K22" s="4" t="s">
        <v>439</v>
      </c>
      <c r="L22" s="2" t="s">
        <v>399</v>
      </c>
      <c r="M22" t="s">
        <v>153</v>
      </c>
      <c r="N22" s="2" t="s">
        <v>399</v>
      </c>
      <c r="O22">
        <v>82</v>
      </c>
    </row>
    <row r="23" spans="1:15" x14ac:dyDescent="0.2">
      <c r="A23" t="s">
        <v>157</v>
      </c>
      <c r="B23" t="s">
        <v>158</v>
      </c>
      <c r="C23" t="s">
        <v>53</v>
      </c>
      <c r="D23" t="s">
        <v>53</v>
      </c>
      <c r="E23" s="2" t="s">
        <v>159</v>
      </c>
      <c r="F23" s="3" t="s">
        <v>160</v>
      </c>
      <c r="G23" t="s">
        <v>150</v>
      </c>
      <c r="H23" s="2" t="s">
        <v>161</v>
      </c>
      <c r="I23" t="s">
        <v>162</v>
      </c>
      <c r="J23" t="s">
        <v>399</v>
      </c>
      <c r="K23" s="4" t="s">
        <v>440</v>
      </c>
      <c r="L23" t="s">
        <v>398</v>
      </c>
      <c r="M23" t="s">
        <v>157</v>
      </c>
      <c r="N23" t="s">
        <v>399</v>
      </c>
      <c r="O23">
        <v>57</v>
      </c>
    </row>
    <row r="24" spans="1:15" x14ac:dyDescent="0.2">
      <c r="A24" t="s">
        <v>163</v>
      </c>
      <c r="B24" t="s">
        <v>164</v>
      </c>
      <c r="C24" t="s">
        <v>61</v>
      </c>
      <c r="D24" t="s">
        <v>61</v>
      </c>
      <c r="E24" s="3" t="s">
        <v>165</v>
      </c>
      <c r="F24" s="2" t="s">
        <v>166</v>
      </c>
      <c r="G24" t="s">
        <v>167</v>
      </c>
      <c r="H24" s="2" t="s">
        <v>110</v>
      </c>
      <c r="I24" t="s">
        <v>168</v>
      </c>
      <c r="J24" t="s">
        <v>398</v>
      </c>
      <c r="K24" s="4" t="s">
        <v>442</v>
      </c>
      <c r="L24" t="s">
        <v>399</v>
      </c>
      <c r="M24" t="s">
        <v>400</v>
      </c>
      <c r="N24" t="s">
        <v>399</v>
      </c>
      <c r="O24">
        <v>70</v>
      </c>
    </row>
    <row r="25" spans="1:15" x14ac:dyDescent="0.2">
      <c r="A25" t="s">
        <v>169</v>
      </c>
      <c r="B25" t="s">
        <v>170</v>
      </c>
      <c r="C25" t="s">
        <v>171</v>
      </c>
      <c r="D25" t="s">
        <v>171</v>
      </c>
      <c r="E25" s="3" t="s">
        <v>172</v>
      </c>
      <c r="F25" s="3" t="s">
        <v>173</v>
      </c>
      <c r="G25" t="s">
        <v>136</v>
      </c>
      <c r="H25" s="3" t="s">
        <v>174</v>
      </c>
      <c r="I25" t="s">
        <v>175</v>
      </c>
      <c r="J25" s="3" t="s">
        <v>398</v>
      </c>
      <c r="K25" s="4" t="s">
        <v>443</v>
      </c>
      <c r="L25" s="3" t="s">
        <v>398</v>
      </c>
      <c r="M25" t="s">
        <v>405</v>
      </c>
      <c r="N25" s="3" t="s">
        <v>398</v>
      </c>
      <c r="O25">
        <v>44</v>
      </c>
    </row>
    <row r="26" spans="1:15" x14ac:dyDescent="0.2">
      <c r="A26" t="s">
        <v>176</v>
      </c>
      <c r="B26" t="s">
        <v>177</v>
      </c>
      <c r="C26" t="s">
        <v>178</v>
      </c>
      <c r="D26" t="s">
        <v>120</v>
      </c>
      <c r="E26" s="2" t="s">
        <v>179</v>
      </c>
      <c r="F26" s="3" t="s">
        <v>180</v>
      </c>
      <c r="G26" t="s">
        <v>181</v>
      </c>
      <c r="H26" s="3" t="s">
        <v>161</v>
      </c>
      <c r="I26" t="s">
        <v>182</v>
      </c>
      <c r="J26" t="s">
        <v>399</v>
      </c>
      <c r="K26" s="4" t="s">
        <v>444</v>
      </c>
      <c r="L26" t="s">
        <v>398</v>
      </c>
      <c r="M26" t="s">
        <v>406</v>
      </c>
      <c r="N26" t="s">
        <v>398</v>
      </c>
      <c r="O26">
        <v>50</v>
      </c>
    </row>
    <row r="27" spans="1:15" x14ac:dyDescent="0.2">
      <c r="A27" t="s">
        <v>183</v>
      </c>
      <c r="B27" t="s">
        <v>184</v>
      </c>
      <c r="C27" t="s">
        <v>185</v>
      </c>
      <c r="D27" t="s">
        <v>186</v>
      </c>
      <c r="E27" s="3" t="s">
        <v>187</v>
      </c>
      <c r="F27" s="3" t="s">
        <v>188</v>
      </c>
      <c r="G27" t="s">
        <v>189</v>
      </c>
      <c r="H27" s="3" t="s">
        <v>190</v>
      </c>
      <c r="I27" t="s">
        <v>191</v>
      </c>
      <c r="J27" s="3" t="s">
        <v>398</v>
      </c>
      <c r="K27" s="4" t="s">
        <v>445</v>
      </c>
      <c r="L27" s="3" t="s">
        <v>398</v>
      </c>
      <c r="M27" t="s">
        <v>407</v>
      </c>
      <c r="N27" s="3" t="s">
        <v>398</v>
      </c>
      <c r="O27">
        <v>42</v>
      </c>
    </row>
    <row r="28" spans="1:15" x14ac:dyDescent="0.2">
      <c r="A28" t="s">
        <v>192</v>
      </c>
      <c r="B28" t="s">
        <v>193</v>
      </c>
      <c r="C28" t="s">
        <v>194</v>
      </c>
      <c r="D28" t="s">
        <v>61</v>
      </c>
      <c r="E28" s="2" t="s">
        <v>195</v>
      </c>
      <c r="F28" s="3" t="s">
        <v>196</v>
      </c>
      <c r="G28" t="s">
        <v>150</v>
      </c>
      <c r="H28" s="3" t="s">
        <v>190</v>
      </c>
      <c r="I28" t="s">
        <v>197</v>
      </c>
      <c r="J28" t="s">
        <v>399</v>
      </c>
      <c r="K28" s="4" t="s">
        <v>446</v>
      </c>
      <c r="L28" t="s">
        <v>398</v>
      </c>
      <c r="M28" t="s">
        <v>193</v>
      </c>
      <c r="N28" t="s">
        <v>398</v>
      </c>
      <c r="O28">
        <v>44</v>
      </c>
    </row>
    <row r="29" spans="1:15" x14ac:dyDescent="0.2">
      <c r="A29" t="s">
        <v>198</v>
      </c>
      <c r="B29" t="s">
        <v>199</v>
      </c>
      <c r="C29" t="s">
        <v>200</v>
      </c>
      <c r="D29" t="s">
        <v>127</v>
      </c>
      <c r="E29" s="2" t="s">
        <v>201</v>
      </c>
      <c r="F29" s="3" t="s">
        <v>202</v>
      </c>
      <c r="G29" t="s">
        <v>203</v>
      </c>
      <c r="H29" s="3" t="s">
        <v>174</v>
      </c>
      <c r="I29" t="s">
        <v>204</v>
      </c>
      <c r="J29" s="3" t="s">
        <v>399</v>
      </c>
      <c r="K29" s="4" t="s">
        <v>447</v>
      </c>
      <c r="L29" s="3" t="s">
        <v>398</v>
      </c>
      <c r="M29" t="s">
        <v>199</v>
      </c>
      <c r="N29" t="s">
        <v>398</v>
      </c>
      <c r="O29">
        <v>73</v>
      </c>
    </row>
    <row r="30" spans="1:15" x14ac:dyDescent="0.2">
      <c r="A30" t="s">
        <v>205</v>
      </c>
      <c r="B30" t="s">
        <v>206</v>
      </c>
      <c r="C30" t="s">
        <v>207</v>
      </c>
      <c r="D30" t="s">
        <v>207</v>
      </c>
      <c r="E30" s="3" t="s">
        <v>208</v>
      </c>
      <c r="F30" s="3" t="s">
        <v>209</v>
      </c>
      <c r="G30" t="s">
        <v>210</v>
      </c>
      <c r="H30" s="3" t="s">
        <v>211</v>
      </c>
      <c r="I30" t="s">
        <v>212</v>
      </c>
      <c r="J30" s="3" t="s">
        <v>398</v>
      </c>
      <c r="K30" s="4" t="s">
        <v>448</v>
      </c>
      <c r="L30" s="3" t="s">
        <v>398</v>
      </c>
      <c r="M30" t="s">
        <v>206</v>
      </c>
      <c r="N30" t="s">
        <v>398</v>
      </c>
      <c r="O30">
        <v>47</v>
      </c>
    </row>
    <row r="31" spans="1:15" x14ac:dyDescent="0.2">
      <c r="A31" t="s">
        <v>213</v>
      </c>
      <c r="B31" t="s">
        <v>214</v>
      </c>
      <c r="C31" t="s">
        <v>215</v>
      </c>
      <c r="D31" t="s">
        <v>215</v>
      </c>
      <c r="E31" s="3" t="s">
        <v>216</v>
      </c>
      <c r="F31" s="3" t="s">
        <v>217</v>
      </c>
      <c r="G31" t="s">
        <v>218</v>
      </c>
      <c r="H31" s="3" t="s">
        <v>87</v>
      </c>
      <c r="I31" t="s">
        <v>219</v>
      </c>
      <c r="J31" s="3" t="s">
        <v>398</v>
      </c>
      <c r="K31" s="4" t="s">
        <v>449</v>
      </c>
      <c r="L31" s="3" t="s">
        <v>398</v>
      </c>
      <c r="M31" t="s">
        <v>408</v>
      </c>
      <c r="N31" t="s">
        <v>398</v>
      </c>
      <c r="O31">
        <v>98</v>
      </c>
    </row>
    <row r="32" spans="1:15" x14ac:dyDescent="0.2">
      <c r="A32" t="s">
        <v>220</v>
      </c>
      <c r="B32" t="s">
        <v>221</v>
      </c>
      <c r="C32" t="s">
        <v>207</v>
      </c>
      <c r="D32" t="s">
        <v>207</v>
      </c>
      <c r="E32" s="3" t="s">
        <v>222</v>
      </c>
      <c r="F32" s="3" t="s">
        <v>223</v>
      </c>
      <c r="G32" t="s">
        <v>224</v>
      </c>
      <c r="H32" s="2" t="s">
        <v>190</v>
      </c>
      <c r="I32" t="s">
        <v>225</v>
      </c>
      <c r="J32" s="3" t="s">
        <v>398</v>
      </c>
      <c r="K32" s="4" t="s">
        <v>450</v>
      </c>
      <c r="L32" s="3" t="s">
        <v>398</v>
      </c>
      <c r="M32" t="s">
        <v>409</v>
      </c>
      <c r="N32" t="s">
        <v>399</v>
      </c>
      <c r="O32">
        <v>89</v>
      </c>
    </row>
    <row r="33" spans="1:16" x14ac:dyDescent="0.2">
      <c r="A33" t="s">
        <v>226</v>
      </c>
      <c r="B33" t="s">
        <v>227</v>
      </c>
      <c r="C33" t="s">
        <v>228</v>
      </c>
      <c r="D33" t="s">
        <v>229</v>
      </c>
      <c r="E33" s="3" t="s">
        <v>230</v>
      </c>
      <c r="F33" s="3" t="s">
        <v>231</v>
      </c>
      <c r="G33" t="s">
        <v>72</v>
      </c>
      <c r="H33" s="3" t="s">
        <v>102</v>
      </c>
      <c r="I33" t="s">
        <v>232</v>
      </c>
      <c r="J33" s="3" t="s">
        <v>398</v>
      </c>
      <c r="K33" s="4" t="s">
        <v>451</v>
      </c>
      <c r="L33" s="3" t="s">
        <v>398</v>
      </c>
      <c r="M33" t="s">
        <v>410</v>
      </c>
      <c r="N33" t="s">
        <v>398</v>
      </c>
      <c r="O33">
        <v>80</v>
      </c>
    </row>
    <row r="34" spans="1:16" x14ac:dyDescent="0.2">
      <c r="A34" t="s">
        <v>233</v>
      </c>
      <c r="B34" t="s">
        <v>234</v>
      </c>
      <c r="C34" t="s">
        <v>215</v>
      </c>
      <c r="D34" t="s">
        <v>133</v>
      </c>
      <c r="E34" s="2" t="s">
        <v>235</v>
      </c>
      <c r="F34" s="3" t="s">
        <v>236</v>
      </c>
      <c r="G34" t="s">
        <v>210</v>
      </c>
      <c r="H34" s="3" t="s">
        <v>102</v>
      </c>
      <c r="I34" t="s">
        <v>237</v>
      </c>
      <c r="J34" s="3" t="s">
        <v>399</v>
      </c>
      <c r="K34" s="4" t="s">
        <v>452</v>
      </c>
      <c r="L34" s="3" t="s">
        <v>398</v>
      </c>
      <c r="M34" t="s">
        <v>234</v>
      </c>
      <c r="N34" t="s">
        <v>398</v>
      </c>
      <c r="O34">
        <v>70</v>
      </c>
    </row>
    <row r="35" spans="1:16" x14ac:dyDescent="0.2">
      <c r="A35" t="s">
        <v>238</v>
      </c>
      <c r="B35" t="s">
        <v>239</v>
      </c>
      <c r="C35" t="s">
        <v>240</v>
      </c>
      <c r="D35" t="s">
        <v>240</v>
      </c>
      <c r="E35" s="2" t="s">
        <v>241</v>
      </c>
      <c r="F35" s="3" t="s">
        <v>242</v>
      </c>
      <c r="G35" t="s">
        <v>243</v>
      </c>
      <c r="H35" s="2" t="s">
        <v>244</v>
      </c>
      <c r="I35" t="s">
        <v>245</v>
      </c>
      <c r="J35" s="3" t="s">
        <v>399</v>
      </c>
      <c r="K35" s="4" t="s">
        <v>453</v>
      </c>
      <c r="L35" s="3" t="s">
        <v>398</v>
      </c>
      <c r="M35" t="s">
        <v>411</v>
      </c>
      <c r="N35" t="s">
        <v>399</v>
      </c>
      <c r="O35">
        <v>28</v>
      </c>
    </row>
    <row r="36" spans="1:16" x14ac:dyDescent="0.2">
      <c r="A36" t="s">
        <v>246</v>
      </c>
      <c r="B36" t="s">
        <v>247</v>
      </c>
      <c r="C36" t="s">
        <v>229</v>
      </c>
      <c r="D36" t="s">
        <v>229</v>
      </c>
      <c r="E36" s="3" t="s">
        <v>248</v>
      </c>
      <c r="F36" s="3" t="s">
        <v>249</v>
      </c>
      <c r="G36" t="s">
        <v>250</v>
      </c>
      <c r="H36" s="3" t="s">
        <v>102</v>
      </c>
      <c r="I36" t="s">
        <v>251</v>
      </c>
      <c r="J36" s="3" t="s">
        <v>398</v>
      </c>
      <c r="K36" s="4" t="s">
        <v>454</v>
      </c>
      <c r="L36" s="3" t="s">
        <v>398</v>
      </c>
      <c r="M36" t="s">
        <v>412</v>
      </c>
      <c r="N36" t="s">
        <v>398</v>
      </c>
      <c r="O36">
        <v>51</v>
      </c>
    </row>
    <row r="37" spans="1:16" x14ac:dyDescent="0.2">
      <c r="A37" t="s">
        <v>252</v>
      </c>
      <c r="B37" t="s">
        <v>253</v>
      </c>
      <c r="C37" t="s">
        <v>140</v>
      </c>
      <c r="D37" t="s">
        <v>141</v>
      </c>
      <c r="E37" s="2" t="s">
        <v>254</v>
      </c>
      <c r="F37" s="2" t="s">
        <v>255</v>
      </c>
      <c r="G37" t="s">
        <v>210</v>
      </c>
      <c r="H37" s="3" t="s">
        <v>87</v>
      </c>
      <c r="I37" t="s">
        <v>256</v>
      </c>
      <c r="J37" s="3" t="s">
        <v>399</v>
      </c>
      <c r="K37" s="4" t="s">
        <v>455</v>
      </c>
      <c r="L37" s="3" t="s">
        <v>399</v>
      </c>
      <c r="M37" t="s">
        <v>252</v>
      </c>
      <c r="N37" t="s">
        <v>398</v>
      </c>
      <c r="O37">
        <v>51</v>
      </c>
    </row>
    <row r="38" spans="1:16" x14ac:dyDescent="0.2">
      <c r="A38" t="s">
        <v>257</v>
      </c>
      <c r="B38" t="s">
        <v>258</v>
      </c>
      <c r="C38" t="s">
        <v>106</v>
      </c>
      <c r="D38" t="s">
        <v>106</v>
      </c>
      <c r="E38" s="3" t="s">
        <v>259</v>
      </c>
      <c r="F38" s="3" t="s">
        <v>260</v>
      </c>
      <c r="G38" t="s">
        <v>136</v>
      </c>
      <c r="H38" s="2" t="s">
        <v>174</v>
      </c>
      <c r="I38" t="s">
        <v>261</v>
      </c>
      <c r="J38" t="s">
        <v>398</v>
      </c>
      <c r="K38" s="4" t="s">
        <v>456</v>
      </c>
      <c r="L38" s="3" t="s">
        <v>398</v>
      </c>
      <c r="M38" t="s">
        <v>413</v>
      </c>
      <c r="N38" t="s">
        <v>399</v>
      </c>
      <c r="O38">
        <v>23</v>
      </c>
    </row>
    <row r="39" spans="1:16" x14ac:dyDescent="0.2">
      <c r="A39" t="s">
        <v>262</v>
      </c>
      <c r="B39" t="s">
        <v>263</v>
      </c>
      <c r="C39" t="s">
        <v>215</v>
      </c>
      <c r="D39" t="s">
        <v>215</v>
      </c>
      <c r="E39" s="3" t="s">
        <v>264</v>
      </c>
      <c r="F39" s="3" t="s">
        <v>265</v>
      </c>
      <c r="G39" t="s">
        <v>243</v>
      </c>
      <c r="H39" s="3" t="s">
        <v>244</v>
      </c>
      <c r="I39" t="s">
        <v>266</v>
      </c>
      <c r="J39" s="3" t="s">
        <v>398</v>
      </c>
      <c r="K39" s="4" t="s">
        <v>457</v>
      </c>
      <c r="L39" s="3" t="s">
        <v>398</v>
      </c>
      <c r="M39" t="s">
        <v>263</v>
      </c>
      <c r="N39" t="s">
        <v>398</v>
      </c>
      <c r="O39">
        <v>66</v>
      </c>
    </row>
    <row r="40" spans="1:16" x14ac:dyDescent="0.2">
      <c r="A40" t="s">
        <v>267</v>
      </c>
      <c r="B40" t="s">
        <v>268</v>
      </c>
      <c r="C40" t="s">
        <v>269</v>
      </c>
      <c r="D40" t="s">
        <v>269</v>
      </c>
      <c r="E40" s="3" t="s">
        <v>270</v>
      </c>
      <c r="F40" s="3" t="s">
        <v>271</v>
      </c>
      <c r="G40" t="s">
        <v>272</v>
      </c>
      <c r="H40" s="2" t="s">
        <v>273</v>
      </c>
      <c r="I40" t="s">
        <v>274</v>
      </c>
      <c r="J40" t="s">
        <v>398</v>
      </c>
      <c r="K40" s="4" t="s">
        <v>441</v>
      </c>
      <c r="L40" s="3" t="s">
        <v>398</v>
      </c>
      <c r="M40" t="s">
        <v>414</v>
      </c>
      <c r="N40" t="s">
        <v>399</v>
      </c>
      <c r="O40">
        <v>32</v>
      </c>
    </row>
    <row r="41" spans="1:16" x14ac:dyDescent="0.2">
      <c r="A41" t="s">
        <v>275</v>
      </c>
      <c r="B41" t="s">
        <v>276</v>
      </c>
      <c r="C41" t="s">
        <v>277</v>
      </c>
      <c r="D41" t="s">
        <v>147</v>
      </c>
      <c r="E41" s="3" t="s">
        <v>278</v>
      </c>
      <c r="F41" s="3" t="s">
        <v>279</v>
      </c>
      <c r="G41" t="s">
        <v>109</v>
      </c>
      <c r="H41" s="3" t="s">
        <v>65</v>
      </c>
      <c r="I41" t="s">
        <v>280</v>
      </c>
      <c r="J41" s="3" t="s">
        <v>398</v>
      </c>
      <c r="K41" s="4" t="s">
        <v>458</v>
      </c>
      <c r="L41" s="3" t="s">
        <v>398</v>
      </c>
      <c r="M41" t="s">
        <v>275</v>
      </c>
      <c r="N41" t="s">
        <v>398</v>
      </c>
      <c r="O41">
        <v>55</v>
      </c>
    </row>
    <row r="42" spans="1:16" x14ac:dyDescent="0.2">
      <c r="A42" t="s">
        <v>281</v>
      </c>
      <c r="B42" t="s">
        <v>282</v>
      </c>
      <c r="C42" t="s">
        <v>283</v>
      </c>
      <c r="D42" t="s">
        <v>283</v>
      </c>
      <c r="E42" s="3" t="s">
        <v>284</v>
      </c>
      <c r="F42" s="3" t="s">
        <v>285</v>
      </c>
      <c r="G42" t="s">
        <v>210</v>
      </c>
      <c r="H42" s="2" t="s">
        <v>190</v>
      </c>
      <c r="I42" t="s">
        <v>286</v>
      </c>
      <c r="J42" t="s">
        <v>398</v>
      </c>
      <c r="K42" s="4" t="s">
        <v>459</v>
      </c>
      <c r="L42" s="3" t="s">
        <v>398</v>
      </c>
      <c r="M42" t="s">
        <v>282</v>
      </c>
      <c r="N42" t="s">
        <v>399</v>
      </c>
      <c r="O42">
        <v>47</v>
      </c>
    </row>
    <row r="43" spans="1:16" x14ac:dyDescent="0.2">
      <c r="A43" t="s">
        <v>287</v>
      </c>
      <c r="B43" t="s">
        <v>288</v>
      </c>
      <c r="C43" t="s">
        <v>106</v>
      </c>
      <c r="D43" t="s">
        <v>106</v>
      </c>
      <c r="E43" s="3" t="s">
        <v>289</v>
      </c>
      <c r="F43" s="2" t="s">
        <v>290</v>
      </c>
      <c r="G43" t="s">
        <v>291</v>
      </c>
      <c r="H43" s="2" t="s">
        <v>211</v>
      </c>
      <c r="I43" t="s">
        <v>292</v>
      </c>
      <c r="J43" s="3" t="s">
        <v>398</v>
      </c>
      <c r="K43" s="4" t="s">
        <v>460</v>
      </c>
      <c r="L43" s="3" t="s">
        <v>399</v>
      </c>
      <c r="M43" t="s">
        <v>287</v>
      </c>
      <c r="N43" t="s">
        <v>399</v>
      </c>
      <c r="O43">
        <v>20</v>
      </c>
    </row>
    <row r="44" spans="1:16" x14ac:dyDescent="0.2">
      <c r="A44" t="s">
        <v>293</v>
      </c>
      <c r="B44" t="s">
        <v>294</v>
      </c>
      <c r="C44" t="s">
        <v>106</v>
      </c>
      <c r="D44" t="s">
        <v>106</v>
      </c>
      <c r="E44" s="3" t="s">
        <v>295</v>
      </c>
      <c r="F44" s="3" t="s">
        <v>296</v>
      </c>
      <c r="G44" t="s">
        <v>72</v>
      </c>
      <c r="H44" s="2" t="s">
        <v>65</v>
      </c>
      <c r="I44" t="s">
        <v>297</v>
      </c>
      <c r="J44" t="s">
        <v>398</v>
      </c>
      <c r="K44" s="4" t="s">
        <v>461</v>
      </c>
      <c r="L44" s="3" t="s">
        <v>398</v>
      </c>
      <c r="M44" t="s">
        <v>294</v>
      </c>
      <c r="N44" t="s">
        <v>399</v>
      </c>
      <c r="O44">
        <v>75</v>
      </c>
    </row>
    <row r="45" spans="1:16" x14ac:dyDescent="0.2">
      <c r="A45" t="s">
        <v>298</v>
      </c>
      <c r="B45" t="s">
        <v>299</v>
      </c>
      <c r="C45" t="s">
        <v>300</v>
      </c>
      <c r="D45" t="s">
        <v>301</v>
      </c>
      <c r="E45" s="3" t="s">
        <v>302</v>
      </c>
      <c r="F45" s="2" t="s">
        <v>303</v>
      </c>
      <c r="G45" t="s">
        <v>304</v>
      </c>
      <c r="H45" s="3" t="s">
        <v>190</v>
      </c>
      <c r="I45" t="s">
        <v>305</v>
      </c>
      <c r="J45" s="3" t="s">
        <v>398</v>
      </c>
      <c r="K45" s="4" t="s">
        <v>462</v>
      </c>
      <c r="L45" s="3" t="s">
        <v>399</v>
      </c>
      <c r="M45" t="s">
        <v>299</v>
      </c>
      <c r="N45" t="s">
        <v>398</v>
      </c>
      <c r="O45">
        <v>50</v>
      </c>
    </row>
    <row r="46" spans="1:16" x14ac:dyDescent="0.2">
      <c r="A46" t="s">
        <v>306</v>
      </c>
      <c r="B46" t="s">
        <v>307</v>
      </c>
      <c r="C46" t="s">
        <v>194</v>
      </c>
      <c r="D46" t="s">
        <v>127</v>
      </c>
      <c r="E46" s="3" t="s">
        <v>308</v>
      </c>
      <c r="F46" s="2" t="s">
        <v>309</v>
      </c>
      <c r="G46" t="s">
        <v>310</v>
      </c>
      <c r="H46" s="3" t="s">
        <v>102</v>
      </c>
      <c r="I46" t="s">
        <v>311</v>
      </c>
      <c r="J46" t="s">
        <v>398</v>
      </c>
      <c r="K46" s="4" t="s">
        <v>463</v>
      </c>
      <c r="L46" s="3" t="s">
        <v>399</v>
      </c>
      <c r="M46" t="s">
        <v>306</v>
      </c>
      <c r="N46" t="s">
        <v>398</v>
      </c>
      <c r="O46">
        <v>65</v>
      </c>
    </row>
    <row r="47" spans="1:16" x14ac:dyDescent="0.2">
      <c r="A47" t="s">
        <v>312</v>
      </c>
      <c r="B47" t="s">
        <v>313</v>
      </c>
      <c r="C47" t="s">
        <v>314</v>
      </c>
      <c r="D47" t="s">
        <v>314</v>
      </c>
      <c r="E47" s="3" t="s">
        <v>315</v>
      </c>
      <c r="F47" s="3" t="s">
        <v>316</v>
      </c>
      <c r="G47" t="s">
        <v>210</v>
      </c>
      <c r="H47" s="3" t="s">
        <v>211</v>
      </c>
      <c r="I47" t="s">
        <v>317</v>
      </c>
      <c r="J47" s="3" t="s">
        <v>398</v>
      </c>
      <c r="K47" s="4" t="s">
        <v>464</v>
      </c>
      <c r="L47" s="3" t="s">
        <v>398</v>
      </c>
      <c r="M47" t="s">
        <v>313</v>
      </c>
      <c r="N47" t="s">
        <v>398</v>
      </c>
      <c r="O47">
        <v>62</v>
      </c>
      <c r="P47" t="s">
        <v>465</v>
      </c>
    </row>
    <row r="48" spans="1:16" x14ac:dyDescent="0.2">
      <c r="A48" t="s">
        <v>318</v>
      </c>
      <c r="B48" t="s">
        <v>319</v>
      </c>
      <c r="C48" t="s">
        <v>18</v>
      </c>
      <c r="D48" t="s">
        <v>18</v>
      </c>
      <c r="E48" s="2" t="s">
        <v>320</v>
      </c>
      <c r="F48" s="3" t="s">
        <v>321</v>
      </c>
      <c r="G48" t="s">
        <v>322</v>
      </c>
      <c r="H48" t="s">
        <v>18</v>
      </c>
      <c r="I48" t="s">
        <v>323</v>
      </c>
      <c r="J48" t="s">
        <v>399</v>
      </c>
      <c r="K48" s="4" t="s">
        <v>466</v>
      </c>
      <c r="L48" s="3" t="s">
        <v>398</v>
      </c>
      <c r="M48" t="s">
        <v>415</v>
      </c>
      <c r="N48" t="s">
        <v>467</v>
      </c>
      <c r="O48">
        <v>93</v>
      </c>
    </row>
    <row r="49" spans="1:15" x14ac:dyDescent="0.2">
      <c r="A49" t="s">
        <v>324</v>
      </c>
      <c r="B49" t="s">
        <v>325</v>
      </c>
      <c r="C49" t="s">
        <v>106</v>
      </c>
      <c r="D49" t="s">
        <v>106</v>
      </c>
      <c r="E49" s="2" t="s">
        <v>326</v>
      </c>
      <c r="F49" s="3" t="s">
        <v>327</v>
      </c>
      <c r="G49" t="s">
        <v>272</v>
      </c>
      <c r="H49" s="3" t="s">
        <v>273</v>
      </c>
      <c r="I49" t="s">
        <v>328</v>
      </c>
      <c r="J49" s="3" t="s">
        <v>399</v>
      </c>
      <c r="K49" s="4" t="s">
        <v>468</v>
      </c>
      <c r="L49" s="3" t="s">
        <v>398</v>
      </c>
      <c r="M49" t="s">
        <v>416</v>
      </c>
      <c r="N49" t="s">
        <v>398</v>
      </c>
      <c r="O49">
        <v>48</v>
      </c>
    </row>
    <row r="50" spans="1:15" x14ac:dyDescent="0.2">
      <c r="A50" t="s">
        <v>329</v>
      </c>
      <c r="B50" t="s">
        <v>330</v>
      </c>
      <c r="C50" t="s">
        <v>314</v>
      </c>
      <c r="D50" t="s">
        <v>314</v>
      </c>
      <c r="E50" s="2" t="s">
        <v>331</v>
      </c>
      <c r="F50" s="2" t="s">
        <v>332</v>
      </c>
      <c r="G50" t="s">
        <v>272</v>
      </c>
      <c r="H50" s="2" t="s">
        <v>190</v>
      </c>
      <c r="I50" t="s">
        <v>333</v>
      </c>
      <c r="J50" s="2" t="s">
        <v>399</v>
      </c>
      <c r="K50" s="4" t="s">
        <v>469</v>
      </c>
      <c r="L50" s="3" t="s">
        <v>399</v>
      </c>
      <c r="M50" t="s">
        <v>330</v>
      </c>
      <c r="N50" t="s">
        <v>399</v>
      </c>
      <c r="O50">
        <v>77</v>
      </c>
    </row>
    <row r="51" spans="1:15" x14ac:dyDescent="0.2">
      <c r="A51" t="s">
        <v>334</v>
      </c>
      <c r="B51" t="s">
        <v>335</v>
      </c>
      <c r="C51" t="s">
        <v>314</v>
      </c>
      <c r="D51" t="s">
        <v>69</v>
      </c>
      <c r="E51" s="3" t="s">
        <v>336</v>
      </c>
      <c r="F51" s="2" t="s">
        <v>337</v>
      </c>
      <c r="G51" t="s">
        <v>72</v>
      </c>
      <c r="H51" s="3" t="s">
        <v>57</v>
      </c>
      <c r="I51" t="s">
        <v>338</v>
      </c>
      <c r="J51" t="s">
        <v>398</v>
      </c>
      <c r="K51" s="4" t="s">
        <v>470</v>
      </c>
      <c r="L51" s="3" t="s">
        <v>399</v>
      </c>
      <c r="M51" t="s">
        <v>335</v>
      </c>
      <c r="N51" t="s">
        <v>398</v>
      </c>
      <c r="O51">
        <v>48</v>
      </c>
    </row>
    <row r="52" spans="1:15" x14ac:dyDescent="0.2">
      <c r="A52" t="s">
        <v>339</v>
      </c>
      <c r="B52" t="s">
        <v>340</v>
      </c>
      <c r="C52" t="s">
        <v>341</v>
      </c>
      <c r="D52" t="s">
        <v>342</v>
      </c>
      <c r="E52" s="2" t="s">
        <v>343</v>
      </c>
      <c r="F52" s="3" t="s">
        <v>344</v>
      </c>
      <c r="G52" t="s">
        <v>243</v>
      </c>
      <c r="H52" s="3" t="s">
        <v>102</v>
      </c>
      <c r="I52" t="s">
        <v>345</v>
      </c>
      <c r="J52" t="s">
        <v>399</v>
      </c>
      <c r="K52" s="4" t="s">
        <v>471</v>
      </c>
      <c r="L52" s="3" t="s">
        <v>398</v>
      </c>
      <c r="M52" t="s">
        <v>417</v>
      </c>
      <c r="N52" t="s">
        <v>398</v>
      </c>
      <c r="O52">
        <v>77</v>
      </c>
    </row>
    <row r="53" spans="1:15" x14ac:dyDescent="0.2">
      <c r="A53" t="s">
        <v>346</v>
      </c>
      <c r="B53" t="s">
        <v>347</v>
      </c>
      <c r="C53" t="s">
        <v>207</v>
      </c>
      <c r="D53" t="s">
        <v>207</v>
      </c>
      <c r="E53" s="2" t="s">
        <v>348</v>
      </c>
      <c r="F53" s="3" t="s">
        <v>349</v>
      </c>
      <c r="G53" t="s">
        <v>181</v>
      </c>
      <c r="H53" s="2" t="s">
        <v>57</v>
      </c>
      <c r="I53" t="s">
        <v>350</v>
      </c>
      <c r="J53" t="s">
        <v>399</v>
      </c>
      <c r="K53" s="4" t="s">
        <v>472</v>
      </c>
      <c r="L53" s="3" t="s">
        <v>398</v>
      </c>
      <c r="M53" t="s">
        <v>418</v>
      </c>
      <c r="N53" t="s">
        <v>399</v>
      </c>
      <c r="O53">
        <v>62</v>
      </c>
    </row>
    <row r="54" spans="1:15" x14ac:dyDescent="0.2">
      <c r="A54" t="s">
        <v>351</v>
      </c>
      <c r="B54" t="s">
        <v>352</v>
      </c>
      <c r="C54" t="s">
        <v>171</v>
      </c>
      <c r="D54" t="s">
        <v>171</v>
      </c>
      <c r="E54" s="2" t="s">
        <v>353</v>
      </c>
      <c r="F54" s="3" t="s">
        <v>354</v>
      </c>
      <c r="G54" t="s">
        <v>355</v>
      </c>
      <c r="H54" s="2" t="s">
        <v>102</v>
      </c>
      <c r="I54" t="s">
        <v>356</v>
      </c>
      <c r="J54" t="s">
        <v>399</v>
      </c>
      <c r="K54" s="4" t="s">
        <v>473</v>
      </c>
      <c r="L54" s="3" t="s">
        <v>398</v>
      </c>
      <c r="M54" t="s">
        <v>352</v>
      </c>
      <c r="N54" t="s">
        <v>399</v>
      </c>
      <c r="O54">
        <v>31</v>
      </c>
    </row>
    <row r="55" spans="1:15" x14ac:dyDescent="0.2">
      <c r="A55" t="s">
        <v>357</v>
      </c>
      <c r="B55" t="s">
        <v>358</v>
      </c>
      <c r="C55" t="s">
        <v>140</v>
      </c>
      <c r="D55" t="s">
        <v>359</v>
      </c>
      <c r="E55" s="3" t="s">
        <v>360</v>
      </c>
      <c r="F55" s="3" t="s">
        <v>361</v>
      </c>
      <c r="G55" t="s">
        <v>243</v>
      </c>
      <c r="H55" s="2" t="s">
        <v>102</v>
      </c>
      <c r="I55" t="s">
        <v>362</v>
      </c>
      <c r="J55" t="s">
        <v>398</v>
      </c>
      <c r="K55" s="4" t="s">
        <v>474</v>
      </c>
      <c r="L55" s="3" t="s">
        <v>398</v>
      </c>
      <c r="M55" t="s">
        <v>358</v>
      </c>
      <c r="N55" t="s">
        <v>399</v>
      </c>
      <c r="O55">
        <v>50</v>
      </c>
    </row>
    <row r="56" spans="1:15" x14ac:dyDescent="0.2">
      <c r="A56" t="s">
        <v>363</v>
      </c>
      <c r="B56" t="s">
        <v>364</v>
      </c>
      <c r="C56" t="s">
        <v>365</v>
      </c>
      <c r="D56" t="s">
        <v>366</v>
      </c>
      <c r="E56" s="2" t="s">
        <v>367</v>
      </c>
      <c r="F56" s="3" t="s">
        <v>368</v>
      </c>
      <c r="G56" t="s">
        <v>369</v>
      </c>
      <c r="H56" s="3" t="s">
        <v>211</v>
      </c>
      <c r="I56" t="s">
        <v>370</v>
      </c>
      <c r="J56" t="s">
        <v>399</v>
      </c>
      <c r="K56" s="4" t="s">
        <v>475</v>
      </c>
      <c r="L56" s="3" t="s">
        <v>398</v>
      </c>
      <c r="M56" t="s">
        <v>364</v>
      </c>
      <c r="N56" t="s">
        <v>398</v>
      </c>
      <c r="O56">
        <v>58</v>
      </c>
    </row>
    <row r="57" spans="1:15" x14ac:dyDescent="0.2">
      <c r="A57" t="s">
        <v>371</v>
      </c>
      <c r="B57" t="s">
        <v>372</v>
      </c>
      <c r="C57" t="s">
        <v>373</v>
      </c>
      <c r="D57" t="s">
        <v>373</v>
      </c>
      <c r="E57" s="3" t="s">
        <v>374</v>
      </c>
      <c r="F57" s="3" t="s">
        <v>375</v>
      </c>
      <c r="G57" t="s">
        <v>224</v>
      </c>
      <c r="H57" s="3" t="s">
        <v>190</v>
      </c>
      <c r="I57" t="s">
        <v>376</v>
      </c>
      <c r="J57" s="3" t="s">
        <v>398</v>
      </c>
      <c r="K57" s="4" t="s">
        <v>476</v>
      </c>
      <c r="L57" s="3" t="s">
        <v>398</v>
      </c>
      <c r="M57" t="s">
        <v>372</v>
      </c>
      <c r="N57" t="s">
        <v>398</v>
      </c>
      <c r="O57">
        <v>45</v>
      </c>
    </row>
    <row r="58" spans="1:15" x14ac:dyDescent="0.2">
      <c r="A58" t="s">
        <v>377</v>
      </c>
      <c r="B58" t="s">
        <v>378</v>
      </c>
      <c r="C58" t="s">
        <v>185</v>
      </c>
      <c r="D58" t="s">
        <v>186</v>
      </c>
      <c r="E58" s="2" t="s">
        <v>379</v>
      </c>
      <c r="F58" s="2" t="s">
        <v>380</v>
      </c>
      <c r="G58" t="s">
        <v>181</v>
      </c>
      <c r="H58" s="3" t="s">
        <v>190</v>
      </c>
      <c r="I58" t="s">
        <v>381</v>
      </c>
      <c r="J58" t="s">
        <v>399</v>
      </c>
      <c r="K58" s="4" t="s">
        <v>477</v>
      </c>
      <c r="L58" s="3" t="s">
        <v>399</v>
      </c>
      <c r="M58" t="s">
        <v>377</v>
      </c>
      <c r="N58" t="s">
        <v>398</v>
      </c>
      <c r="O58">
        <v>23</v>
      </c>
    </row>
    <row r="59" spans="1:15" x14ac:dyDescent="0.2">
      <c r="A59" t="s">
        <v>382</v>
      </c>
      <c r="B59" t="s">
        <v>383</v>
      </c>
      <c r="C59" t="s">
        <v>186</v>
      </c>
      <c r="D59" t="s">
        <v>186</v>
      </c>
      <c r="E59" s="3" t="s">
        <v>384</v>
      </c>
      <c r="F59" s="3" t="s">
        <v>385</v>
      </c>
      <c r="G59" t="s">
        <v>355</v>
      </c>
      <c r="H59" s="3" t="s">
        <v>161</v>
      </c>
      <c r="I59" t="s">
        <v>386</v>
      </c>
      <c r="J59" s="3" t="s">
        <v>398</v>
      </c>
      <c r="K59" s="4" t="s">
        <v>478</v>
      </c>
      <c r="L59" s="3" t="s">
        <v>398</v>
      </c>
      <c r="M59" t="s">
        <v>383</v>
      </c>
      <c r="N59" t="s">
        <v>398</v>
      </c>
      <c r="O59">
        <v>41</v>
      </c>
    </row>
    <row r="60" spans="1:15" x14ac:dyDescent="0.2">
      <c r="A60" t="s">
        <v>387</v>
      </c>
      <c r="B60" t="s">
        <v>388</v>
      </c>
      <c r="C60" t="s">
        <v>389</v>
      </c>
      <c r="D60" t="s">
        <v>389</v>
      </c>
      <c r="E60" s="2" t="s">
        <v>390</v>
      </c>
      <c r="F60" s="3" t="s">
        <v>391</v>
      </c>
      <c r="G60" t="s">
        <v>243</v>
      </c>
      <c r="H60" s="2" t="s">
        <v>244</v>
      </c>
      <c r="I60" t="s">
        <v>392</v>
      </c>
      <c r="J60" t="s">
        <v>399</v>
      </c>
      <c r="K60" s="4" t="s">
        <v>479</v>
      </c>
      <c r="L60" s="3" t="s">
        <v>398</v>
      </c>
      <c r="M60" t="s">
        <v>388</v>
      </c>
      <c r="N60" t="s">
        <v>399</v>
      </c>
      <c r="O60">
        <v>23</v>
      </c>
    </row>
    <row r="61" spans="1:15" x14ac:dyDescent="0.2">
      <c r="A61" t="s">
        <v>393</v>
      </c>
      <c r="B61" t="s">
        <v>394</v>
      </c>
      <c r="C61" t="s">
        <v>61</v>
      </c>
      <c r="D61" t="s">
        <v>61</v>
      </c>
      <c r="E61" s="3" t="s">
        <v>395</v>
      </c>
      <c r="F61" s="3" t="s">
        <v>396</v>
      </c>
      <c r="G61" t="s">
        <v>243</v>
      </c>
      <c r="H61" s="2" t="s">
        <v>57</v>
      </c>
      <c r="I61" t="s">
        <v>397</v>
      </c>
      <c r="J61" t="s">
        <v>398</v>
      </c>
      <c r="K61" s="4" t="s">
        <v>480</v>
      </c>
      <c r="L61" s="3" t="s">
        <v>398</v>
      </c>
      <c r="M61" t="s">
        <v>393</v>
      </c>
      <c r="N61" t="s">
        <v>399</v>
      </c>
      <c r="O61">
        <v>45</v>
      </c>
    </row>
  </sheetData>
  <conditionalFormatting sqref="J2:J1048576 L9 L13 L17:L18 L22 L25 L27 L29:L61 N9 N13 N17:N18 N22 N25 N27 K15:K61">
    <cfRule type="containsText" dxfId="6" priority="7" operator="containsText" text="Y">
      <formula>NOT(ISERROR(SEARCH("Y",J2)))</formula>
    </cfRule>
    <cfRule type="containsText" dxfId="5" priority="6" operator="containsText" text="N">
      <formula>NOT(ISERROR(SEARCH("N",J2)))</formula>
    </cfRule>
  </conditionalFormatting>
  <conditionalFormatting sqref="L2:L61 N9 N13 N17:N18 N22 N25 N27">
    <cfRule type="containsText" dxfId="4" priority="5" operator="containsText" text="Y">
      <formula>NOT(ISERROR(SEARCH("Y",L2)))</formula>
    </cfRule>
    <cfRule type="containsText" dxfId="3" priority="3" operator="containsText" text="N">
      <formula>NOT(ISERROR(SEARCH("N",L2)))</formula>
    </cfRule>
  </conditionalFormatting>
  <conditionalFormatting sqref="N1:N1048576">
    <cfRule type="containsText" dxfId="2" priority="2" operator="containsText" text="N">
      <formula>NOT(ISERROR(SEARCH("N",N1)))</formula>
    </cfRule>
    <cfRule type="containsText" dxfId="1" priority="1" operator="containsText" text="Y">
      <formula>NOT(ISERROR(SEARCH("Y",N1)))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2025-11-21T19:17:53Z</dcterms:created>
  <dcterms:modified xsi:type="dcterms:W3CDTF">2025-11-25T04:10:01Z</dcterms:modified>
</cp:coreProperties>
</file>